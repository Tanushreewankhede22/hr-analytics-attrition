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kh\OneDrive\Desktop\"/>
    </mc:Choice>
  </mc:AlternateContent>
  <xr:revisionPtr revIDLastSave="0" documentId="13_ncr:1_{1F7A4AC3-3713-4800-962B-D911B94C94B6}" xr6:coauthVersionLast="47" xr6:coauthVersionMax="47" xr10:uidLastSave="{00000000-0000-0000-0000-000000000000}"/>
  <bookViews>
    <workbookView xWindow="-108" yWindow="-108" windowWidth="23256" windowHeight="12456" firstSheet="3" activeTab="7" xr2:uid="{0B049BF7-A25E-4924-B1B8-F94D059308BE}"/>
  </bookViews>
  <sheets>
    <sheet name="hr_employee_data" sheetId="1" r:id="rId1"/>
    <sheet name="HR Summary" sheetId="2" r:id="rId2"/>
    <sheet name="Department Analysis" sheetId="3" r:id="rId3"/>
    <sheet name="Job Role Analysis" sheetId="4" r:id="rId4"/>
    <sheet name="Overtime Analysis" sheetId="5" r:id="rId5"/>
    <sheet name="Age Group Analysis" sheetId="6" r:id="rId6"/>
    <sheet name="Income Analysis" sheetId="7" r:id="rId7"/>
    <sheet name="HR Dashboar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6" i="7"/>
  <c r="B7" i="7"/>
  <c r="B2" i="7"/>
  <c r="C6" i="6"/>
  <c r="D6" i="6" s="1"/>
  <c r="C5" i="6"/>
  <c r="D5" i="6" s="1"/>
  <c r="C4" i="6"/>
  <c r="D4" i="6" s="1"/>
  <c r="C3" i="6"/>
  <c r="D3" i="6" s="1"/>
  <c r="C2" i="6"/>
  <c r="D2" i="6" s="1"/>
  <c r="B6" i="6"/>
  <c r="B5" i="6"/>
  <c r="B4" i="6"/>
  <c r="B3" i="6"/>
  <c r="B2" i="6"/>
  <c r="C3" i="5"/>
  <c r="D3" i="5" s="1"/>
  <c r="C2" i="5"/>
  <c r="D2" i="5" s="1"/>
  <c r="B3" i="5"/>
  <c r="B2" i="5"/>
  <c r="D6" i="4"/>
  <c r="D12" i="4"/>
  <c r="C3" i="4"/>
  <c r="D3" i="4" s="1"/>
  <c r="C4" i="4"/>
  <c r="D4" i="4" s="1"/>
  <c r="C5" i="4"/>
  <c r="D5" i="4" s="1"/>
  <c r="C6" i="4"/>
  <c r="C7" i="4"/>
  <c r="D7" i="4" s="1"/>
  <c r="C8" i="4"/>
  <c r="D8" i="4" s="1"/>
  <c r="C9" i="4"/>
  <c r="D9" i="4" s="1"/>
  <c r="C10" i="4"/>
  <c r="D10" i="4" s="1"/>
  <c r="C11" i="4"/>
  <c r="D11" i="4" s="1"/>
  <c r="C12" i="4"/>
  <c r="C13" i="4"/>
  <c r="D13" i="4" s="1"/>
  <c r="C14" i="4"/>
  <c r="D14" i="4" s="1"/>
  <c r="C2" i="4"/>
  <c r="D2" i="4" s="1"/>
  <c r="B3" i="4"/>
  <c r="B4" i="4"/>
  <c r="B5" i="4"/>
  <c r="B6" i="4"/>
  <c r="B7" i="4"/>
  <c r="B8" i="4"/>
  <c r="B9" i="4"/>
  <c r="B10" i="4"/>
  <c r="B11" i="4"/>
  <c r="B12" i="4"/>
  <c r="B13" i="4"/>
  <c r="B14" i="4"/>
  <c r="B2" i="4"/>
  <c r="C3" i="3"/>
  <c r="C4" i="3"/>
  <c r="C5" i="3"/>
  <c r="C6" i="3"/>
  <c r="C7" i="3"/>
  <c r="C2" i="3"/>
  <c r="B3" i="3"/>
  <c r="B4" i="3"/>
  <c r="B5" i="3"/>
  <c r="B6" i="3"/>
  <c r="B7" i="3"/>
  <c r="B2" i="3"/>
  <c r="B7" i="2"/>
  <c r="I4" i="8" s="1"/>
  <c r="B6" i="2"/>
  <c r="G4" i="8" s="1"/>
  <c r="B4" i="2"/>
  <c r="B5" i="2" s="1"/>
  <c r="E4" i="8" s="1"/>
  <c r="B3" i="2"/>
  <c r="A4" i="8" s="1"/>
  <c r="D3" i="3" l="1"/>
  <c r="C4" i="8"/>
  <c r="D2" i="3"/>
  <c r="D7" i="3"/>
  <c r="D5" i="3"/>
  <c r="D6" i="3"/>
  <c r="D4" i="3"/>
</calcChain>
</file>

<file path=xl/sharedStrings.xml><?xml version="1.0" encoding="utf-8"?>
<sst xmlns="http://schemas.openxmlformats.org/spreadsheetml/2006/main" count="9679" uniqueCount="1264">
  <si>
    <t>Employee_ID</t>
  </si>
  <si>
    <t>Age</t>
  </si>
  <si>
    <t>Gender</t>
  </si>
  <si>
    <t>Department</t>
  </si>
  <si>
    <t>Job_Role</t>
  </si>
  <si>
    <t>Monthly_Income</t>
  </si>
  <si>
    <t>Years_At_Company</t>
  </si>
  <si>
    <t>Education</t>
  </si>
  <si>
    <t>Marital_Status</t>
  </si>
  <si>
    <t>Job_Satisfaction</t>
  </si>
  <si>
    <t>Environment_Satisfaction</t>
  </si>
  <si>
    <t>Overtime</t>
  </si>
  <si>
    <t>Performance_Rating</t>
  </si>
  <si>
    <t>Distance_From_Home_KM</t>
  </si>
  <si>
    <t>Training_Times_Last_Year</t>
  </si>
  <si>
    <t>Work_Life_Balance</t>
  </si>
  <si>
    <t>Attrition</t>
  </si>
  <si>
    <t>EMP0001</t>
  </si>
  <si>
    <t>Female</t>
  </si>
  <si>
    <t>Research &amp; Development</t>
  </si>
  <si>
    <t>Manager</t>
  </si>
  <si>
    <t>Master's</t>
  </si>
  <si>
    <t>Single</t>
  </si>
  <si>
    <t>Yes</t>
  </si>
  <si>
    <t>EMP0002</t>
  </si>
  <si>
    <t>Sales</t>
  </si>
  <si>
    <t>Sales Executive</t>
  </si>
  <si>
    <t>No</t>
  </si>
  <si>
    <t>EMP0003</t>
  </si>
  <si>
    <t>Human Resources</t>
  </si>
  <si>
    <t>HR Specialist</t>
  </si>
  <si>
    <t>Married</t>
  </si>
  <si>
    <t>EMP0004</t>
  </si>
  <si>
    <t>PhD</t>
  </si>
  <si>
    <t>EMP0005</t>
  </si>
  <si>
    <t>Male</t>
  </si>
  <si>
    <t>Laboratory Technician</t>
  </si>
  <si>
    <t>Bachelor's</t>
  </si>
  <si>
    <t>EMP0006</t>
  </si>
  <si>
    <t>EMP0007</t>
  </si>
  <si>
    <t>Research Scientist</t>
  </si>
  <si>
    <t>EMP0008</t>
  </si>
  <si>
    <t>EMP0009</t>
  </si>
  <si>
    <t>EMP0010</t>
  </si>
  <si>
    <t>Marketing</t>
  </si>
  <si>
    <t>Marketing Executive</t>
  </si>
  <si>
    <t>High School</t>
  </si>
  <si>
    <t>EMP0011</t>
  </si>
  <si>
    <t>EMP0012</t>
  </si>
  <si>
    <t>HR Executive</t>
  </si>
  <si>
    <t>EMP0013</t>
  </si>
  <si>
    <t>EMP0014</t>
  </si>
  <si>
    <t>EMP0015</t>
  </si>
  <si>
    <t>EMP0016</t>
  </si>
  <si>
    <t>Marketing Specialist</t>
  </si>
  <si>
    <t>EMP0017</t>
  </si>
  <si>
    <t>Divorced</t>
  </si>
  <si>
    <t>EMP0018</t>
  </si>
  <si>
    <t>EMP0019</t>
  </si>
  <si>
    <t>EMP0020</t>
  </si>
  <si>
    <t>EMP0021</t>
  </si>
  <si>
    <t>Sales Representative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</si>
  <si>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</si>
  <si>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</si>
  <si>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</si>
  <si>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</si>
  <si>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</si>
  <si>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</si>
  <si>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</si>
  <si>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</si>
  <si>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Finance</t>
  </si>
  <si>
    <t>Financial Analyst</t>
  </si>
  <si>
    <t>EMP0030</t>
  </si>
  <si>
    <t>EMP0031</t>
  </si>
  <si>
    <t>IT</t>
  </si>
  <si>
    <t>Software Engineer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</si>
  <si>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</si>
  <si>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</si>
  <si>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</si>
  <si>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</si>
  <si>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</si>
  <si>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</si>
  <si>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</si>
  <si>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</si>
  <si>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</si>
  <si>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</si>
  <si>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</si>
  <si>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</si>
  <si>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</si>
  <si>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</si>
  <si>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</si>
  <si>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</si>
  <si>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</si>
  <si>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</si>
  <si>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</si>
  <si>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</si>
  <si>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</si>
  <si>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</si>
  <si>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</si>
  <si>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IT Support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</si>
  <si>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</si>
  <si>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</si>
  <si>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</si>
  <si>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</si>
  <si>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</si>
  <si>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</si>
  <si>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</si>
  <si>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</si>
  <si>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</si>
  <si>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</si>
  <si>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</si>
  <si>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</si>
  <si>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</si>
  <si>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</si>
  <si>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</si>
  <si>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</si>
  <si>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</si>
  <si>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</si>
  <si>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</si>
  <si>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</si>
  <si>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</si>
  <si>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</si>
  <si>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</si>
  <si>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</si>
  <si>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</si>
  <si>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</si>
  <si>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</si>
  <si>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</si>
  <si>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</si>
  <si>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</si>
  <si>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</si>
  <si>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</si>
  <si>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</si>
  <si>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</si>
  <si>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</si>
  <si>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</si>
  <si>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</si>
  <si>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</si>
  <si>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</si>
  <si>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</si>
  <si>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</si>
  <si>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</si>
  <si>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</si>
  <si>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</si>
  <si>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Finance Executive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</si>
  <si>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</si>
  <si>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</si>
  <si>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</si>
  <si>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</si>
  <si>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</si>
  <si>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</si>
  <si>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</si>
  <si>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</si>
  <si>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</si>
  <si>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</si>
  <si>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</si>
  <si>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</si>
  <si>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</si>
  <si>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</si>
  <si>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</si>
  <si>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</si>
  <si>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</si>
  <si>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</si>
  <si>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</si>
  <si>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</si>
  <si>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</si>
  <si>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</si>
  <si>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</si>
  <si>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</si>
  <si>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</si>
  <si>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</si>
  <si>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</si>
  <si>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</si>
  <si>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</si>
  <si>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</si>
  <si>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</si>
  <si>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</si>
  <si>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</si>
  <si>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</si>
  <si>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</si>
  <si>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</si>
  <si>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</si>
  <si>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</si>
  <si>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</si>
  <si>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</si>
  <si>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</si>
  <si>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</si>
  <si>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</si>
  <si>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</si>
  <si>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</si>
  <si>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</si>
  <si>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</si>
  <si>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</si>
  <si>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</si>
  <si>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</si>
  <si>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</si>
  <si>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</si>
  <si>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</si>
  <si>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</si>
  <si>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</si>
  <si>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</si>
  <si>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</si>
  <si>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</si>
  <si>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</si>
  <si>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</si>
  <si>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</si>
  <si>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</si>
  <si>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</si>
  <si>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</si>
  <si>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</si>
  <si>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</si>
  <si>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</si>
  <si>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</si>
  <si>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</si>
  <si>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</si>
  <si>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</si>
  <si>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</si>
  <si>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</si>
  <si>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</si>
  <si>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</si>
  <si>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</si>
  <si>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</si>
  <si>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</si>
  <si>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</si>
  <si>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</si>
  <si>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</si>
  <si>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</si>
  <si>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</si>
  <si>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</si>
  <si>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</si>
  <si>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</si>
  <si>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</si>
  <si>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</si>
  <si>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</si>
  <si>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</si>
  <si>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</si>
  <si>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</si>
  <si>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</si>
  <si>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</si>
  <si>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</si>
  <si>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</si>
  <si>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</si>
  <si>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</si>
  <si>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</si>
  <si>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</si>
  <si>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</si>
  <si>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</si>
  <si>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</si>
  <si>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</si>
  <si>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</si>
  <si>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</si>
  <si>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</si>
  <si>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</si>
  <si>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</si>
  <si>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</si>
  <si>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</si>
  <si>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</si>
  <si>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</si>
  <si>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</si>
  <si>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</si>
  <si>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</si>
  <si>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</si>
  <si>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</si>
  <si>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</si>
  <si>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</si>
  <si>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</si>
  <si>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</si>
  <si>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</si>
  <si>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</si>
  <si>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</si>
  <si>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</si>
  <si>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</si>
  <si>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</si>
  <si>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</si>
  <si>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</si>
  <si>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</si>
  <si>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</si>
  <si>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</si>
  <si>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</si>
  <si>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</si>
  <si>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</si>
  <si>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</si>
  <si>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</si>
  <si>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</si>
  <si>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</si>
  <si>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</si>
  <si>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</si>
  <si>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</si>
  <si>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</si>
  <si>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</si>
  <si>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</si>
  <si>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</si>
  <si>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</si>
  <si>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</si>
  <si>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</si>
  <si>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</si>
  <si>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</si>
  <si>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</si>
  <si>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</si>
  <si>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</si>
  <si>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</si>
  <si>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</si>
  <si>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</si>
  <si>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</si>
  <si>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</si>
  <si>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</si>
  <si>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</si>
  <si>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</si>
  <si>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</si>
  <si>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</si>
  <si>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</si>
  <si>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</si>
  <si>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</si>
  <si>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</si>
  <si>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</si>
  <si>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</si>
  <si>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</si>
  <si>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</si>
  <si>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</si>
  <si>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</si>
  <si>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</si>
  <si>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</si>
  <si>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</si>
  <si>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</si>
  <si>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</si>
  <si>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</si>
  <si>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</si>
  <si>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</si>
  <si>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</si>
  <si>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</si>
  <si>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</si>
  <si>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</si>
  <si>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</si>
  <si>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</si>
  <si>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</si>
  <si>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</si>
  <si>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</si>
  <si>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</si>
  <si>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</si>
  <si>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</si>
  <si>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</si>
  <si>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</si>
  <si>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</si>
  <si>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</si>
  <si>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</si>
  <si>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</si>
  <si>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</si>
  <si>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</si>
  <si>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</si>
  <si>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</si>
  <si>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</si>
  <si>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</si>
  <si>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</si>
  <si>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</si>
  <si>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</si>
  <si>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</si>
  <si>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</si>
  <si>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</si>
  <si>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</si>
  <si>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</si>
  <si>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</si>
  <si>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</si>
  <si>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</si>
  <si>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</si>
  <si>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</si>
  <si>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</si>
  <si>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</si>
  <si>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</si>
  <si>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</si>
  <si>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</si>
  <si>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</si>
  <si>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</si>
  <si>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</si>
  <si>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</si>
  <si>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</si>
  <si>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</si>
  <si>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</si>
  <si>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</si>
  <si>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</si>
  <si>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</si>
  <si>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</si>
  <si>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</si>
  <si>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</si>
  <si>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</si>
  <si>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</si>
  <si>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</si>
  <si>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</si>
  <si>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</si>
  <si>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</si>
  <si>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</si>
  <si>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</si>
  <si>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</si>
  <si>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</si>
  <si>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</si>
  <si>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</si>
  <si>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</si>
  <si>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</si>
  <si>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</si>
  <si>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</si>
  <si>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</si>
  <si>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</si>
  <si>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</si>
  <si>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</si>
  <si>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</si>
  <si>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</si>
  <si>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</si>
  <si>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</si>
  <si>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</si>
  <si>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</si>
  <si>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</si>
  <si>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</si>
  <si>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</si>
  <si>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</si>
  <si>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</si>
  <si>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</si>
  <si>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</si>
  <si>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</si>
  <si>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</si>
  <si>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</si>
  <si>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</si>
  <si>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</si>
  <si>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</si>
  <si>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</si>
  <si>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</si>
  <si>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</si>
  <si>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</si>
  <si>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</si>
  <si>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</si>
  <si>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</si>
  <si>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</si>
  <si>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</si>
  <si>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</si>
  <si>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</si>
  <si>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</si>
  <si>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</si>
  <si>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</si>
  <si>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</si>
  <si>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</si>
  <si>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</si>
  <si>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</si>
  <si>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</si>
  <si>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</si>
  <si>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</si>
  <si>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</si>
  <si>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</si>
  <si>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</si>
  <si>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</si>
  <si>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</si>
  <si>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</si>
  <si>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</si>
  <si>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</si>
  <si>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</si>
  <si>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</si>
  <si>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</si>
  <si>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</si>
  <si>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</si>
  <si>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</si>
  <si>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</si>
  <si>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</si>
  <si>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</si>
  <si>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</si>
  <si>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</si>
  <si>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</si>
  <si>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</si>
  <si>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</si>
  <si>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</si>
  <si>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</si>
  <si>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</si>
  <si>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</si>
  <si>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</si>
  <si>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</si>
  <si>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</si>
  <si>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</si>
  <si>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</si>
  <si>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</si>
  <si>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</si>
  <si>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</si>
  <si>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</si>
  <si>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</si>
  <si>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</si>
  <si>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</si>
  <si>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</si>
  <si>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</si>
  <si>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</si>
  <si>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</si>
  <si>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</si>
  <si>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</si>
  <si>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</si>
  <si>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</si>
  <si>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</si>
  <si>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</si>
  <si>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</si>
  <si>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</si>
  <si>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</si>
  <si>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</si>
  <si>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</si>
  <si>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</si>
  <si>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</si>
  <si>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</si>
  <si>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</si>
  <si>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</si>
  <si>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</si>
  <si>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</si>
  <si>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</si>
  <si>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</si>
  <si>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</si>
  <si>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</si>
  <si>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</si>
  <si>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</si>
  <si>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</si>
  <si>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</si>
  <si>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</si>
  <si>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</si>
  <si>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</si>
  <si>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</si>
  <si>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</si>
  <si>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</si>
  <si>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</si>
  <si>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</si>
  <si>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</si>
  <si>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</si>
  <si>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</si>
  <si>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</si>
  <si>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</si>
  <si>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</si>
  <si>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</si>
  <si>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</si>
  <si>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</si>
  <si>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</si>
  <si>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</si>
  <si>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</si>
  <si>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</si>
  <si>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</si>
  <si>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</si>
  <si>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</si>
  <si>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</si>
  <si>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</si>
  <si>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</si>
  <si>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</si>
  <si>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</si>
  <si>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</si>
  <si>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</si>
  <si>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</si>
  <si>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</si>
  <si>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</si>
  <si>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</si>
  <si>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</si>
  <si>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</si>
  <si>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</si>
  <si>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</si>
  <si>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</si>
  <si>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</si>
  <si>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</si>
  <si>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</si>
  <si>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</si>
  <si>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</si>
  <si>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</si>
  <si>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</si>
  <si>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</si>
  <si>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</si>
  <si>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</si>
  <si>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</si>
  <si>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</si>
  <si>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</si>
  <si>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</si>
  <si>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</si>
  <si>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</si>
  <si>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</si>
  <si>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</si>
  <si>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</si>
  <si>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</si>
  <si>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</si>
  <si>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</si>
  <si>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</si>
  <si>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</si>
  <si>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</si>
  <si>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</si>
  <si>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</si>
  <si>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</si>
  <si>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</si>
  <si>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</si>
  <si>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</si>
  <si>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</si>
  <si>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</si>
  <si>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</si>
  <si>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</si>
  <si>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</si>
  <si>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</si>
  <si>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</si>
  <si>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</si>
  <si>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</si>
  <si>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</si>
  <si>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</si>
  <si>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</si>
  <si>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</si>
  <si>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</si>
  <si>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</si>
  <si>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</si>
  <si>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</si>
  <si>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</si>
  <si>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</si>
  <si>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</si>
  <si>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</si>
  <si>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</si>
  <si>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</si>
  <si>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</si>
  <si>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</si>
  <si>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</si>
  <si>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</si>
  <si>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</si>
  <si>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</si>
  <si>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</si>
  <si>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</si>
  <si>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</si>
  <si>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</si>
  <si>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</si>
  <si>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</si>
  <si>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</si>
  <si>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</si>
  <si>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</si>
  <si>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</si>
  <si>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</si>
  <si>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</si>
  <si>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</si>
  <si>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</si>
  <si>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</si>
  <si>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</si>
  <si>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</si>
  <si>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</si>
  <si>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</si>
  <si>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</si>
  <si>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</si>
  <si>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</si>
  <si>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</si>
  <si>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</si>
  <si>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</si>
  <si>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</si>
  <si>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</si>
  <si>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</si>
  <si>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</si>
  <si>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</si>
  <si>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</si>
  <si>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</si>
  <si>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</si>
  <si>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</si>
  <si>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</si>
  <si>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</si>
  <si>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</si>
  <si>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</si>
  <si>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</si>
  <si>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</si>
  <si>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</si>
  <si>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</si>
  <si>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</si>
  <si>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</si>
  <si>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</si>
  <si>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</si>
  <si>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</si>
  <si>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</si>
  <si>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</si>
  <si>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</si>
  <si>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</si>
  <si>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</si>
  <si>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</si>
  <si>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</si>
  <si>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</si>
  <si>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</si>
  <si>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</si>
  <si>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</si>
  <si>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</si>
  <si>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</si>
  <si>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</si>
  <si>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</si>
  <si>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</si>
  <si>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</si>
  <si>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</si>
  <si>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</si>
  <si>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</si>
  <si>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</si>
  <si>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</si>
  <si>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</si>
  <si>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</si>
  <si>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</si>
  <si>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</si>
  <si>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</si>
  <si>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</si>
  <si>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</si>
  <si>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</si>
  <si>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</si>
  <si>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</si>
  <si>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</si>
  <si>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</si>
  <si>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</si>
  <si>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</si>
  <si>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</si>
  <si>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</si>
  <si>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</si>
  <si>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</si>
  <si>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</si>
  <si>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</si>
  <si>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</si>
  <si>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</si>
  <si>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</si>
  <si>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</si>
  <si>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</si>
  <si>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</si>
  <si>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</si>
  <si>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</si>
  <si>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</si>
  <si>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</si>
  <si>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</si>
  <si>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</si>
  <si>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</si>
  <si>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</si>
  <si>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</si>
  <si>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</si>
  <si>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</si>
  <si>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</si>
  <si>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</si>
  <si>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</si>
  <si>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</si>
  <si>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</si>
  <si>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</si>
  <si>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</si>
  <si>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</si>
  <si>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</si>
  <si>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</si>
  <si>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</si>
  <si>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</si>
  <si>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</si>
  <si>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</si>
  <si>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</si>
  <si>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</si>
  <si>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</si>
  <si>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</si>
  <si>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</si>
  <si>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</si>
  <si>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</si>
  <si>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</si>
  <si>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</si>
  <si>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</si>
  <si>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</si>
  <si>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</si>
  <si>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</si>
  <si>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</si>
  <si>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</si>
  <si>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</si>
  <si>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</si>
  <si>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</si>
  <si>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</si>
  <si>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</si>
  <si>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</si>
  <si>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</si>
  <si>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</si>
  <si>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</si>
  <si>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</si>
  <si>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</si>
  <si>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</si>
  <si>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</si>
  <si>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</si>
  <si>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</si>
  <si>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</si>
  <si>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</si>
  <si>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</si>
  <si>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</si>
  <si>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</si>
  <si>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</si>
  <si>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</si>
  <si>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</si>
  <si>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</si>
  <si>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</si>
  <si>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</si>
  <si>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</si>
  <si>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</si>
  <si>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</si>
  <si>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</si>
  <si>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</si>
  <si>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</si>
  <si>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</si>
  <si>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</si>
  <si>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</si>
  <si>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</si>
  <si>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</si>
  <si>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</si>
  <si>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</si>
  <si>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</si>
  <si>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</si>
  <si>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</si>
  <si>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</si>
  <si>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</si>
  <si>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</si>
  <si>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</si>
  <si>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</si>
  <si>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</si>
  <si>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</si>
  <si>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</si>
  <si>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</si>
  <si>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</si>
  <si>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</si>
  <si>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</si>
  <si>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</si>
  <si>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</si>
  <si>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</si>
  <si>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</si>
  <si>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</si>
  <si>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</si>
  <si>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</si>
  <si>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</si>
  <si>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</si>
  <si>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</si>
  <si>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</si>
  <si>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</si>
  <si>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</si>
  <si>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</si>
  <si>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</si>
  <si>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</si>
  <si>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</si>
  <si>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</si>
  <si>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</si>
  <si>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</si>
  <si>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</si>
  <si>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</si>
  <si>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</si>
  <si>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</si>
  <si>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</si>
  <si>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</si>
  <si>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</si>
  <si>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</si>
  <si>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</si>
  <si>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</si>
  <si>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</si>
  <si>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</si>
  <si>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</si>
  <si>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</si>
  <si>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</si>
  <si>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</si>
  <si>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</si>
  <si>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</si>
  <si>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</si>
  <si>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</si>
  <si>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</si>
  <si>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</si>
  <si>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</si>
  <si>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</si>
  <si>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</si>
  <si>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</si>
  <si>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</si>
  <si>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</si>
  <si>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</si>
  <si>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</si>
  <si>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</si>
  <si>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</si>
  <si>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</si>
  <si>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</si>
  <si>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</si>
  <si>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</si>
  <si>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</si>
  <si>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</si>
  <si>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</si>
  <si>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</si>
  <si>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</si>
  <si>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</si>
  <si>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</si>
  <si>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</si>
  <si>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</si>
  <si>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</si>
  <si>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</si>
  <si>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</si>
  <si>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</si>
  <si>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</si>
  <si>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</si>
  <si>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</si>
  <si>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</si>
  <si>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</si>
  <si>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</si>
  <si>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</si>
  <si>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</si>
  <si>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</si>
  <si>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</si>
  <si>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</si>
  <si>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</si>
  <si>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</si>
  <si>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</si>
  <si>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</si>
  <si>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</si>
  <si>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</si>
  <si>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</si>
  <si>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</si>
  <si>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</si>
  <si>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</si>
  <si>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</si>
  <si>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</si>
  <si>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</si>
  <si>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</si>
  <si>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</si>
  <si>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</si>
  <si>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</si>
  <si>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</si>
  <si>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</si>
  <si>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</si>
  <si>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</si>
  <si>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</si>
  <si>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</si>
  <si>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</si>
  <si>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</si>
  <si>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</si>
  <si>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</si>
  <si>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</si>
  <si>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</si>
  <si>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</si>
  <si>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</si>
  <si>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</si>
  <si>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</si>
  <si>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</si>
  <si>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</si>
  <si>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</si>
  <si>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</si>
  <si>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</si>
  <si>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</si>
  <si>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</si>
  <si>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</si>
  <si>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</si>
  <si>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</si>
  <si>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</si>
  <si>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</si>
  <si>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</si>
  <si>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</si>
  <si>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</si>
  <si>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</si>
  <si>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</si>
  <si>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</si>
  <si>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</si>
  <si>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</si>
  <si>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</si>
  <si>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</si>
  <si>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</si>
  <si>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</si>
  <si>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</si>
  <si>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</si>
  <si>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</si>
  <si>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</si>
  <si>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</si>
  <si>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</si>
  <si>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</si>
  <si>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</si>
  <si>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</si>
  <si>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</si>
  <si>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</si>
  <si>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</si>
  <si>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</si>
  <si>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</si>
  <si>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</si>
  <si>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</si>
  <si>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</si>
  <si>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</si>
  <si>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</si>
  <si>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</si>
  <si>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</si>
  <si>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</si>
  <si>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</si>
  <si>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</si>
  <si>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</si>
  <si>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</si>
  <si>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</si>
  <si>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</si>
  <si>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</si>
  <si>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</si>
  <si>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</si>
  <si>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</si>
  <si>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</si>
  <si>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</si>
  <si>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</si>
  <si>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</si>
  <si>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</si>
  <si>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</si>
  <si>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</si>
  <si>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</si>
  <si>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</si>
  <si>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</si>
  <si>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</si>
  <si>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</si>
  <si>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</si>
  <si>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</si>
  <si>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</si>
  <si>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</si>
  <si>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</si>
  <si>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</si>
  <si>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</si>
  <si>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</si>
  <si>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</si>
  <si>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</si>
  <si>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</si>
  <si>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</si>
  <si>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</si>
  <si>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</si>
  <si>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</si>
  <si>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</si>
  <si>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</si>
  <si>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</si>
  <si>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</si>
  <si>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</si>
  <si>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</si>
  <si>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</si>
  <si>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</si>
  <si>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</si>
  <si>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</si>
  <si>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</si>
  <si>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</si>
  <si>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</si>
  <si>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</si>
  <si>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</si>
  <si>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</si>
  <si>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</si>
  <si>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</si>
  <si>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</si>
  <si>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</si>
  <si>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</si>
  <si>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</si>
  <si>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</si>
  <si>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</si>
  <si>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</si>
  <si>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</si>
  <si>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</si>
  <si>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</si>
  <si>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</si>
  <si>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</si>
  <si>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</si>
  <si>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</si>
  <si>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</si>
  <si>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</si>
  <si>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</si>
  <si>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</si>
  <si>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</si>
  <si>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</si>
  <si>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</si>
  <si>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</si>
  <si>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</si>
  <si>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</si>
  <si>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</si>
  <si>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</si>
  <si>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</si>
  <si>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</si>
  <si>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</si>
  <si>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</si>
  <si>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</si>
  <si>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</si>
  <si>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</si>
  <si>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</si>
  <si>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</si>
  <si>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</si>
  <si>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</si>
  <si>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</si>
  <si>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</si>
  <si>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</si>
  <si>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</si>
  <si>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</si>
  <si>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</si>
  <si>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</si>
  <si>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</si>
  <si>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</si>
  <si>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</si>
  <si>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</si>
  <si>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</si>
  <si>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</si>
  <si>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</si>
  <si>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</si>
  <si>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</si>
  <si>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</si>
  <si>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</si>
  <si>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</si>
  <si>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</si>
  <si>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</si>
  <si>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</si>
  <si>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</si>
  <si>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</si>
  <si>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</si>
  <si>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</si>
  <si>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</si>
  <si>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</si>
  <si>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</si>
  <si>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</si>
  <si>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</si>
  <si>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</si>
  <si>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</si>
  <si>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</si>
  <si>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</si>
  <si>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</si>
  <si>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</si>
  <si>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</si>
  <si>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</si>
  <si>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</si>
  <si>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</si>
  <si>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</si>
  <si>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</si>
  <si>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</si>
  <si>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</si>
  <si>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</si>
  <si>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</si>
  <si>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</si>
  <si>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</si>
  <si>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</si>
  <si>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</si>
  <si>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</si>
  <si>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</si>
  <si>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</si>
  <si>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</si>
  <si>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</si>
  <si>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</si>
  <si>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</si>
  <si>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</si>
  <si>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</si>
  <si>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</si>
  <si>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</si>
  <si>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</si>
  <si>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</si>
  <si>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</si>
  <si>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</si>
  <si>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</si>
  <si>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</si>
  <si>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</si>
  <si>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</si>
  <si>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</si>
  <si>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</si>
  <si>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</si>
  <si>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</si>
  <si>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</si>
  <si>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</si>
  <si>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</si>
  <si>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</si>
  <si>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</si>
  <si>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</si>
  <si>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</si>
  <si>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</si>
  <si>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</si>
  <si>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</si>
  <si>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</si>
  <si>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</si>
  <si>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</si>
  <si>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</si>
  <si>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</si>
  <si>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</si>
  <si>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</si>
  <si>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</si>
  <si>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</si>
  <si>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</si>
  <si>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</si>
  <si>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</si>
  <si>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</si>
  <si>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</si>
  <si>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</si>
  <si>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</si>
  <si>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</si>
  <si>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</si>
  <si>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</si>
  <si>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</si>
  <si>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</si>
  <si>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</si>
  <si>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</si>
  <si>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</si>
  <si>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</si>
  <si>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</si>
  <si>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</si>
  <si>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</si>
  <si>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</si>
  <si>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</si>
  <si>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</si>
  <si>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</si>
  <si>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</si>
  <si>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</si>
  <si>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</si>
  <si>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</si>
  <si>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</si>
  <si>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</si>
  <si>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</si>
  <si>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</si>
  <si>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</si>
  <si>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</si>
  <si>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</si>
  <si>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</si>
  <si>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</si>
  <si>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</si>
  <si>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</si>
  <si>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</si>
  <si>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</si>
  <si>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</si>
  <si>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</si>
  <si>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</si>
  <si>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</si>
  <si>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</si>
  <si>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</si>
  <si>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</si>
  <si>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</si>
  <si>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</si>
  <si>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</si>
  <si>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</si>
  <si>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</si>
  <si>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</si>
  <si>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</si>
  <si>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</si>
  <si>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</si>
  <si>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</si>
  <si>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</si>
  <si>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</si>
  <si>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</si>
  <si>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</si>
  <si>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</si>
  <si>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</si>
  <si>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</si>
  <si>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</si>
  <si>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</si>
  <si>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</si>
  <si>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</si>
  <si>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</si>
  <si>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</si>
  <si>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</si>
  <si>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</si>
  <si>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</si>
  <si>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</si>
  <si>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</si>
  <si>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</si>
  <si>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</si>
  <si>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</si>
  <si>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</si>
  <si>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</si>
  <si>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</si>
  <si>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</si>
  <si>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</si>
  <si>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</si>
  <si>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</si>
  <si>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</si>
  <si>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</si>
  <si>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</si>
  <si>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</si>
  <si>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</si>
  <si>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</si>
  <si>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</si>
  <si>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</si>
  <si>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</si>
  <si>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</si>
  <si>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</si>
  <si>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</si>
  <si>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</si>
  <si>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</si>
  <si>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</si>
  <si>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</si>
  <si>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</si>
  <si>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</si>
  <si>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HR Employee Attrition Analysis</t>
  </si>
  <si>
    <t>Total Employees</t>
  </si>
  <si>
    <t>Employees Left</t>
  </si>
  <si>
    <t>Attriton Rate</t>
  </si>
  <si>
    <t>Average Monthly Income</t>
  </si>
  <si>
    <t>Average Years at Company</t>
  </si>
  <si>
    <t>Attrition Rate</t>
  </si>
  <si>
    <t>Job Role</t>
  </si>
  <si>
    <t xml:space="preserve">Age Group </t>
  </si>
  <si>
    <t>Under 25</t>
  </si>
  <si>
    <t>25-34</t>
  </si>
  <si>
    <t>35-44</t>
  </si>
  <si>
    <t>45-54</t>
  </si>
  <si>
    <t>55+</t>
  </si>
  <si>
    <t>HR Employee Attrition Dashboard</t>
  </si>
  <si>
    <t>Avg Monthly Income</t>
  </si>
  <si>
    <t>Avg Years at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</si>
</sst>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0" fontId="0" fillId="0" borderId="0" xfId="0" applyNumberFormat="1"/>
    <xf numFmtId="0" fontId="20" fillId="0" borderId="10" xfId="0" applyFont="1" applyBorder="1" applyAlignment="1">
      <alignment horizontal="center"/>
    </xf>
    <xf numFmtId="0" fontId="20" fillId="0" borderId="10" xfId="0" quotePrefix="1" applyFont="1" applyBorder="1" applyAlignment="1">
      <alignment horizontal="center"/>
    </xf>
    <xf numFmtId="10" fontId="20" fillId="0" borderId="10" xfId="0" applyNumberFormat="1" applyFont="1" applyBorder="1" applyAlignment="1">
      <alignment horizontal="center"/>
    </xf>
    <xf numFmtId="164" fontId="20" fillId="0" borderId="10" xfId="0" applyNumberFormat="1" applyFont="1" applyBorder="1" applyAlignment="1">
      <alignment horizontal="center"/>
    </xf>
    <xf numFmtId="2" fontId="20" fillId="0" borderId="10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Rate by</a:t>
            </a:r>
            <a:r>
              <a:rPr lang="en-IN" baseline="0"/>
              <a:t> Department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Analysis'!$D$1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Analysis'!$A$2:$A$7</c:f>
              <c:strCache>
                <c:ptCount val="6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  <c:pt idx="3">
                  <c:v>Finance</c:v>
                </c:pt>
                <c:pt idx="4">
                  <c:v>IT</c:v>
                </c:pt>
                <c:pt idx="5">
                  <c:v>Marketing</c:v>
                </c:pt>
              </c:strCache>
            </c:strRef>
          </c:cat>
          <c:val>
            <c:numRef>
              <c:f>'Department Analysis'!$D$2:$D$7</c:f>
              <c:numCache>
                <c:formatCode>0.00%</c:formatCode>
                <c:ptCount val="6"/>
                <c:pt idx="0">
                  <c:v>0.10610932475884244</c:v>
                </c:pt>
                <c:pt idx="1">
                  <c:v>0.14685314685314685</c:v>
                </c:pt>
                <c:pt idx="2">
                  <c:v>0.11214953271028037</c:v>
                </c:pt>
                <c:pt idx="3">
                  <c:v>0.1366906474820144</c:v>
                </c:pt>
                <c:pt idx="4">
                  <c:v>0.125</c:v>
                </c:pt>
                <c:pt idx="5">
                  <c:v>7.3825503355704702E-2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7-44F8-AFBF-45E24AFF5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0518303"/>
        <c:axId val="757851631"/>
      </c:barChart>
      <c:catAx>
        <c:axId val="88051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851631"/>
        <c:crosses val="autoZero"/>
        <c:auto val="1"/>
        <c:lblAlgn val="ctr"/>
        <c:lblOffset val="100"/>
        <c:noMultiLvlLbl val="0"/>
      </c:catAx>
      <c:valAx>
        <c:axId val="75785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51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Rate by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'Overtime Analysis'!$D$1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'Overtime Analysis'!$A$2:$A$3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'Overtime Analysis'!$D$2:$D$3</c:f>
              <c:numCache>
                <c:formatCode>0.00%</c:formatCode>
                <c:ptCount val="2"/>
                <c:pt idx="0">
                  <c:v>0.15315315315315314</c:v>
                </c:pt>
                <c:pt idx="1">
                  <c:v>0.10611303344867359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0-46CD-84FA-29445C7F4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3620367"/>
        <c:axId val="757851151"/>
      </c:barChart>
      <c:catAx>
        <c:axId val="96362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851151"/>
        <c:crosses val="autoZero"/>
        <c:auto val="1"/>
        <c:lblAlgn val="ctr"/>
        <c:lblOffset val="100"/>
        <c:noMultiLvlLbl val="0"/>
      </c:catAx>
      <c:valAx>
        <c:axId val="75785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62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 Analysis'!$D$1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Group Analysis'!$A$2:$A$6</c:f>
              <c:strCache>
                <c:ptCount val="5"/>
                <c:pt idx="0">
                  <c:v>Under 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'Age Group Analysis'!$D$2:$D$6</c:f>
              <c:numCache>
                <c:formatCode>0.00%</c:formatCode>
                <c:ptCount val="5"/>
                <c:pt idx="0">
                  <c:v>0.125</c:v>
                </c:pt>
                <c:pt idx="1">
                  <c:v>0.13238289205702647</c:v>
                </c:pt>
                <c:pt idx="2">
                  <c:v>9.0497737556561084E-2</c:v>
                </c:pt>
                <c:pt idx="3">
                  <c:v>0.17821782178217821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F-4CB7-B7DD-D0D5B148A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3189759"/>
        <c:axId val="997125903"/>
      </c:barChart>
      <c:catAx>
        <c:axId val="88318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25903"/>
        <c:crosses val="autoZero"/>
        <c:auto val="1"/>
        <c:lblAlgn val="ctr"/>
        <c:lblOffset val="100"/>
        <c:noMultiLvlLbl val="0"/>
      </c:catAx>
      <c:valAx>
        <c:axId val="99712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18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Monthly Income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Analysis'!$B$1</c:f>
              <c:strCache>
                <c:ptCount val="1"/>
                <c:pt idx="0">
                  <c:v>Average Monthly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'Income Analysis'!$A$2:$A$7</c:f>
              <c:strCache>
                <c:ptCount val="6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  <c:pt idx="3">
                  <c:v>Finance</c:v>
                </c:pt>
                <c:pt idx="4">
                  <c:v>IT</c:v>
                </c:pt>
                <c:pt idx="5">
                  <c:v>Marketing</c:v>
                </c:pt>
              </c:strCache>
            </c:strRef>
          </c:cat>
          <c:val>
            <c:numRef>
              <c:f>'Income Analysis'!$B$2:$B$7</c:f>
              <c:numCache>
                <c:formatCode>General</c:formatCode>
                <c:ptCount val="6"/>
                <c:pt idx="0">
                  <c:v>8782.9356913183274</c:v>
                </c:pt>
                <c:pt idx="1">
                  <c:v>9108.2482517482513</c:v>
                </c:pt>
                <c:pt idx="2">
                  <c:v>8478.3831775700928</c:v>
                </c:pt>
                <c:pt idx="3">
                  <c:v>8401.7697841726622</c:v>
                </c:pt>
                <c:pt idx="4">
                  <c:v>8853.7980769230762</c:v>
                </c:pt>
                <c:pt idx="5">
                  <c:v>8796.0201342281871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1-4D26-A64A-1B1E710CB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193103"/>
        <c:axId val="997137903"/>
      </c:barChart>
      <c:catAx>
        <c:axId val="100119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37903"/>
        <c:crosses val="autoZero"/>
        <c:auto val="1"/>
        <c:lblAlgn val="ctr"/>
        <c:lblOffset val="100"/>
        <c:noMultiLvlLbl val="0"/>
      </c:catAx>
      <c:valAx>
        <c:axId val="99713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19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Attrition Rate by</a:t>
            </a:r>
            <a:r>
              <a:rPr lang="en-IN" b="1" baseline="0"/>
              <a:t> Department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Analysis'!$D$1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Analysis'!$A$2:$A$7</c:f>
              <c:strCache>
                <c:ptCount val="6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  <c:pt idx="3">
                  <c:v>Finance</c:v>
                </c:pt>
                <c:pt idx="4">
                  <c:v>IT</c:v>
                </c:pt>
                <c:pt idx="5">
                  <c:v>Marketing</c:v>
                </c:pt>
              </c:strCache>
            </c:strRef>
          </c:cat>
          <c:val>
            <c:numRef>
              <c:f>'Department Analysis'!$D$2:$D$7</c:f>
              <c:numCache>
                <c:formatCode>0.00%</c:formatCode>
                <c:ptCount val="6"/>
                <c:pt idx="0">
                  <c:v>0.10610932475884244</c:v>
                </c:pt>
                <c:pt idx="1">
                  <c:v>0.14685314685314685</c:v>
                </c:pt>
                <c:pt idx="2">
                  <c:v>0.11214953271028037</c:v>
                </c:pt>
                <c:pt idx="3">
                  <c:v>0.1366906474820144</c:v>
                </c:pt>
                <c:pt idx="4">
                  <c:v>0.125</c:v>
                </c:pt>
                <c:pt idx="5">
                  <c:v>7.3825503355704702E-2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9-4769-AB3A-B1C7BF944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0518303"/>
        <c:axId val="757851631"/>
      </c:barChart>
      <c:catAx>
        <c:axId val="88051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851631"/>
        <c:crosses val="autoZero"/>
        <c:auto val="1"/>
        <c:lblAlgn val="ctr"/>
        <c:lblOffset val="100"/>
        <c:noMultiLvlLbl val="0"/>
      </c:catAx>
      <c:valAx>
        <c:axId val="75785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51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Attrition Rate by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'Overtime Analysis'!$D$1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'Overtime Analysis'!$A$2:$A$3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'Overtime Analysis'!$D$2:$D$3</c:f>
              <c:numCache>
                <c:formatCode>0.00%</c:formatCode>
                <c:ptCount val="2"/>
                <c:pt idx="0">
                  <c:v>0.15315315315315314</c:v>
                </c:pt>
                <c:pt idx="1">
                  <c:v>0.10611303344867359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6-4C3C-A8BE-620FA0924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3620367"/>
        <c:axId val="757851151"/>
      </c:barChart>
      <c:catAx>
        <c:axId val="96362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851151"/>
        <c:crosses val="autoZero"/>
        <c:auto val="1"/>
        <c:lblAlgn val="ctr"/>
        <c:lblOffset val="100"/>
        <c:noMultiLvlLbl val="0"/>
      </c:catAx>
      <c:valAx>
        <c:axId val="75785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62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Attrition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 Analysis'!$D$1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Group Analysis'!$A$2:$A$6</c:f>
              <c:strCache>
                <c:ptCount val="5"/>
                <c:pt idx="0">
                  <c:v>Under 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'Age Group Analysis'!$D$2:$D$6</c:f>
              <c:numCache>
                <c:formatCode>0.00%</c:formatCode>
                <c:ptCount val="5"/>
                <c:pt idx="0">
                  <c:v>0.125</c:v>
                </c:pt>
                <c:pt idx="1">
                  <c:v>0.13238289205702647</c:v>
                </c:pt>
                <c:pt idx="2">
                  <c:v>9.0497737556561084E-2</c:v>
                </c:pt>
                <c:pt idx="3">
                  <c:v>0.17821782178217821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6-4074-AF73-26795D752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3189759"/>
        <c:axId val="997125903"/>
      </c:barChart>
      <c:catAx>
        <c:axId val="88318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25903"/>
        <c:crosses val="autoZero"/>
        <c:auto val="1"/>
        <c:lblAlgn val="ctr"/>
        <c:lblOffset val="100"/>
        <c:noMultiLvlLbl val="0"/>
      </c:catAx>
      <c:valAx>
        <c:axId val="99712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18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Average Monthly Income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Analysis'!$B$1</c:f>
              <c:strCache>
                <c:ptCount val="1"/>
                <c:pt idx="0">
                  <c:v>Average Monthly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'Income Analysis'!$A$2:$A$7</c:f>
              <c:strCache>
                <c:ptCount val="6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  <c:pt idx="3">
                  <c:v>Finance</c:v>
                </c:pt>
                <c:pt idx="4">
                  <c:v>IT</c:v>
                </c:pt>
                <c:pt idx="5">
                  <c:v>Marketing</c:v>
                </c:pt>
              </c:strCache>
            </c:strRef>
          </c:cat>
          <c:val>
            <c:numRef>
              <c:f>'Income Analysis'!$B$2:$B$7</c:f>
              <c:numCache>
                <c:formatCode>General</c:formatCode>
                <c:ptCount val="6"/>
                <c:pt idx="0">
                  <c:v>8782.9356913183274</c:v>
                </c:pt>
                <c:pt idx="1">
                  <c:v>9108.2482517482513</c:v>
                </c:pt>
                <c:pt idx="2">
                  <c:v>8478.3831775700928</c:v>
                </c:pt>
                <c:pt idx="3">
                  <c:v>8401.7697841726622</c:v>
                </c:pt>
                <c:pt idx="4">
                  <c:v>8853.7980769230762</c:v>
                </c:pt>
                <c:pt idx="5">
                  <c:v>8796.0201342281871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C-4392-8EA3-A1662F355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193103"/>
        <c:axId val="997137903"/>
      </c:barChart>
      <c:catAx>
        <c:axId val="100119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37903"/>
        <c:crosses val="autoZero"/>
        <c:auto val="1"/>
        <c:lblAlgn val="ctr"/>
        <c:lblOffset val="100"/>
        <c:noMultiLvlLbl val="0"/>
      </c:catAx>
      <c:valAx>
        <c:axId val="99713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19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175260</xdr:rowOff>
    </xdr:from>
    <xdr:to>
      <xdr:col>15</xdr:col>
      <xdr:colOff>228600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FDB7A0-82F6-EEBB-13DF-A6046C8D0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175260</xdr:rowOff>
    </xdr:from>
    <xdr:to>
      <xdr:col>15</xdr:col>
      <xdr:colOff>228600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8F78E4-CAFD-6615-4CD0-43E08F785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175260</xdr:rowOff>
    </xdr:from>
    <xdr:to>
      <xdr:col>15</xdr:col>
      <xdr:colOff>228600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86F1CB-785A-E20D-AAF3-968A0BF09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175260</xdr:rowOff>
    </xdr:from>
    <xdr:to>
      <xdr:col>15</xdr:col>
      <xdr:colOff>228600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1D80B3-2315-02A2-48E8-1B8312AD1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15550</xdr:colOff>
      <xdr:row>5</xdr:row>
      <xdr:rowOff>15396</xdr:rowOff>
    </xdr:from>
    <xdr:to>
      <xdr:col>6</xdr:col>
      <xdr:colOff>995265</xdr:colOff>
      <xdr:row>20</xdr:row>
      <xdr:rowOff>15396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111439-2A27-40BD-998A-53FD7AB90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7775</xdr:colOff>
      <xdr:row>5</xdr:row>
      <xdr:rowOff>7775</xdr:rowOff>
    </xdr:from>
    <xdr:to>
      <xdr:col>15</xdr:col>
      <xdr:colOff>15551</xdr:colOff>
      <xdr:row>20</xdr:row>
      <xdr:rowOff>7775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A2E2B0-128F-42B0-BC59-D043CB357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6</xdr:col>
      <xdr:colOff>987490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A98887-4B7A-4CB1-9FF5-749DFF68D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7775</xdr:colOff>
      <xdr:row>21</xdr:row>
      <xdr:rowOff>7775</xdr:rowOff>
    </xdr:from>
    <xdr:to>
      <xdr:col>15</xdr:col>
      <xdr:colOff>23327</xdr:colOff>
      <xdr:row>36</xdr:row>
      <xdr:rowOff>7775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669C09-AE62-4286-881C-3C7E9F11A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86776F-DA54-4AA0-9573-7650DF13D8AE}" name="HRData" displayName="HRData" ref="A1:Q1201" totalsRowShown="0">
  <autoFilter ref="A1:Q1201" xr:uid="{FE86776F-DA54-4AA0-9573-7650DF13D8AE}"/>
  <tableColumns count="17">
    <tableColumn id="1" xr3:uid="{C30BCD13-74C2-4B4F-84C6-D2C0D7082806}" name="Employee_ID"/>
    <tableColumn id="2" xr3:uid="{D60F9070-0739-40B2-9BB0-85D42CCB090B}" name="Age"/>
    <tableColumn id="3" xr3:uid="{34AA74CA-AF08-4468-A15D-6AA623682530}" name="Gender"/>
    <tableColumn id="4" xr3:uid="{7E0A2DD9-0AC3-4C27-9030-2EE1717AD9CD}" name="Department"/>
    <tableColumn id="5" xr3:uid="{1F0CC3BD-0735-4473-A367-2FDA8BA8C39F}" name="Job_Role"/>
    <tableColumn id="6" xr3:uid="{1E0159F7-E364-441B-BE39-836F077783A3}" name="Monthly_Income"/>
    <tableColumn id="7" xr3:uid="{95E386F2-DF9A-4672-A745-984A59616AE3}" name="Years_At_Company"/>
    <tableColumn id="8" xr3:uid="{3B76CEC6-D6CB-4B7C-9975-3E772534D636}" name="Education"/>
    <tableColumn id="9" xr3:uid="{30399F8A-29B3-42EA-968B-9CADDB5938F6}" name="Marital_Status"/>
    <tableColumn id="10" xr3:uid="{32654F90-D552-4D4A-BAE7-3EBBD18769FC}" name="Job_Satisfaction"/>
    <tableColumn id="11" xr3:uid="{BB7E5408-FB2B-4944-A6C2-32C0337CAF21}" name="Environment_Satisfaction"/>
    <tableColumn id="12" xr3:uid="{C0DAD822-3750-4C54-A652-19AFFA04B86B}" name="Overtime"/>
    <tableColumn id="13" xr3:uid="{FC74790A-2564-4F4E-BE6A-487BE3C1C697}" name="Performance_Rating"/>
    <tableColumn id="14" xr3:uid="{0A2B8E54-74BB-4536-9FEA-D3D243C2BD58}" name="Distance_From_Home_KM"/>
    <tableColumn id="15" xr3:uid="{E7A2347C-9BCB-4AC2-B4E8-E621BFD67721}" name="Training_Times_Last_Year"/>
    <tableColumn id="16" xr3:uid="{442E6AD2-BB02-4DA5-871D-2D7B489B0E65}" name="Work_Life_Balance"/>
    <tableColumn id="17" xr3:uid="{BF169AF4-2F1B-490A-B32B-C3808C9BEFC2}" name="Attr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4171-A1EC-4921-ADB9-9FC58266FBDD}">
  <dimension ref="A1:Q1201"/>
  <sheetViews>
    <sheetView workbookViewId="0">
      <selection activeCell="J11" sqref="J11"/>
    </sheetView>
  </sheetViews>
  <sheetFormatPr defaultRowHeight="14.4" x14ac:dyDescent="0.3"/>
  <cols>
    <col min="1" max="1" width="14" customWidth="1"/>
    <col min="3" max="3" width="9" customWidth="1"/>
    <col min="4" max="4" width="13" customWidth="1"/>
    <col min="5" max="5" width="10.44140625" customWidth="1"/>
    <col min="6" max="6" width="17.44140625" customWidth="1"/>
    <col min="7" max="7" width="19.33203125" customWidth="1"/>
    <col min="8" max="8" width="11.33203125" customWidth="1"/>
    <col min="9" max="9" width="15.109375" customWidth="1"/>
    <col min="10" max="10" width="16.5546875" customWidth="1"/>
    <col min="11" max="11" width="24.5546875" customWidth="1"/>
    <col min="12" max="12" width="10.6640625" customWidth="1"/>
    <col min="13" max="13" width="20.109375" customWidth="1"/>
    <col min="14" max="14" width="25.21875" customWidth="1"/>
    <col min="15" max="15" width="24.5546875" customWidth="1"/>
    <col min="16" max="16" width="19" customWidth="1"/>
    <col min="17" max="17" width="9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39</v>
      </c>
      <c r="C2" t="s">
        <v>18</v>
      </c>
      <c r="D2" t="s">
        <v>19</v>
      </c>
      <c r="E2" t="s">
        <v>20</v>
      </c>
      <c r="F2">
        <v>13741</v>
      </c>
      <c r="G2">
        <v>0</v>
      </c>
      <c r="H2" t="s">
        <v>21</v>
      </c>
      <c r="I2" t="s">
        <v>22</v>
      </c>
      <c r="J2">
        <v>3</v>
      </c>
      <c r="K2">
        <v>3</v>
      </c>
      <c r="L2" t="s">
        <v>23</v>
      </c>
      <c r="M2">
        <v>4</v>
      </c>
      <c r="N2">
        <v>4</v>
      </c>
      <c r="O2">
        <v>2</v>
      </c>
      <c r="P2">
        <v>2</v>
      </c>
      <c r="Q2" t="s">
        <v>23</v>
      </c>
    </row>
    <row r="3" spans="1:17" x14ac:dyDescent="0.3">
      <c r="A3" t="s">
        <v>24</v>
      </c>
      <c r="B3">
        <v>35</v>
      </c>
      <c r="C3" t="s">
        <v>18</v>
      </c>
      <c r="D3" t="s">
        <v>25</v>
      </c>
      <c r="E3" t="s">
        <v>26</v>
      </c>
      <c r="F3">
        <v>3956</v>
      </c>
      <c r="G3">
        <v>2</v>
      </c>
      <c r="H3" t="s">
        <v>21</v>
      </c>
      <c r="I3" t="s">
        <v>22</v>
      </c>
      <c r="J3">
        <v>1</v>
      </c>
      <c r="K3">
        <v>3</v>
      </c>
      <c r="L3" t="s">
        <v>27</v>
      </c>
      <c r="M3">
        <v>2</v>
      </c>
      <c r="N3">
        <v>28</v>
      </c>
      <c r="O3">
        <v>3</v>
      </c>
      <c r="P3">
        <v>4</v>
      </c>
      <c r="Q3" t="s">
        <v>27</v>
      </c>
    </row>
    <row r="4" spans="1:17" x14ac:dyDescent="0.3">
      <c r="A4" t="s">
        <v>28</v>
      </c>
      <c r="B4">
        <v>34</v>
      </c>
      <c r="C4" t="s">
        <v>18</v>
      </c>
      <c r="D4" t="s">
        <v>29</v>
      </c>
      <c r="E4" t="s">
        <v>30</v>
      </c>
      <c r="F4">
        <v>5572</v>
      </c>
      <c r="G4">
        <v>0</v>
      </c>
      <c r="H4" t="s">
        <v>21</v>
      </c>
      <c r="I4" t="s">
        <v>31</v>
      </c>
      <c r="J4">
        <v>3</v>
      </c>
      <c r="K4">
        <v>2</v>
      </c>
      <c r="L4" t="s">
        <v>27</v>
      </c>
      <c r="M4">
        <v>4</v>
      </c>
      <c r="N4">
        <v>18</v>
      </c>
      <c r="O4">
        <v>1</v>
      </c>
      <c r="P4">
        <v>1</v>
      </c>
      <c r="Q4" t="s">
        <v>23</v>
      </c>
    </row>
    <row r="5" spans="1:17" x14ac:dyDescent="0.3">
      <c r="A5" t="s">
        <v>32</v>
      </c>
      <c r="B5">
        <v>40</v>
      </c>
      <c r="C5" t="s">
        <v>18</v>
      </c>
      <c r="D5" t="s">
        <v>25</v>
      </c>
      <c r="E5" t="s">
        <v>26</v>
      </c>
      <c r="F5">
        <v>4752</v>
      </c>
      <c r="G5">
        <v>1</v>
      </c>
      <c r="H5" t="s">
        <v>33</v>
      </c>
      <c r="I5" t="s">
        <v>31</v>
      </c>
      <c r="J5">
        <v>2</v>
      </c>
      <c r="K5">
        <v>2</v>
      </c>
      <c r="L5" t="s">
        <v>27</v>
      </c>
      <c r="M5">
        <v>2</v>
      </c>
      <c r="N5">
        <v>18</v>
      </c>
      <c r="O5">
        <v>1</v>
      </c>
      <c r="P5">
        <v>4</v>
      </c>
      <c r="Q5" t="s">
        <v>27</v>
      </c>
    </row>
    <row r="6" spans="1:17" x14ac:dyDescent="0.3">
      <c r="A6" t="s">
        <v>34</v>
      </c>
      <c r="B6">
        <v>38</v>
      </c>
      <c r="C6" t="s">
        <v>35</v>
      </c>
      <c r="D6" t="s">
        <v>19</v>
      </c>
      <c r="E6" t="s">
        <v>36</v>
      </c>
      <c r="F6">
        <v>10595</v>
      </c>
      <c r="G6">
        <v>9</v>
      </c>
      <c r="H6" t="s">
        <v>37</v>
      </c>
      <c r="I6" t="s">
        <v>22</v>
      </c>
      <c r="J6">
        <v>1</v>
      </c>
      <c r="K6">
        <v>2</v>
      </c>
      <c r="L6" t="s">
        <v>27</v>
      </c>
      <c r="M6">
        <v>3</v>
      </c>
      <c r="N6">
        <v>25</v>
      </c>
      <c r="O6">
        <v>3</v>
      </c>
      <c r="P6">
        <v>4</v>
      </c>
      <c r="Q6" t="s">
        <v>27</v>
      </c>
    </row>
    <row r="7" spans="1:17" x14ac:dyDescent="0.3">
      <c r="A7" t="s">
        <v>38</v>
      </c>
      <c r="B7">
        <v>21</v>
      </c>
      <c r="C7" t="s">
        <v>35</v>
      </c>
      <c r="D7" t="s">
        <v>25</v>
      </c>
      <c r="E7" t="s">
        <v>26</v>
      </c>
      <c r="F7">
        <v>5067</v>
      </c>
      <c r="G7">
        <v>0</v>
      </c>
      <c r="H7" t="s">
        <v>21</v>
      </c>
      <c r="I7" t="s">
        <v>31</v>
      </c>
      <c r="J7">
        <v>3</v>
      </c>
      <c r="K7">
        <v>1</v>
      </c>
      <c r="L7" t="s">
        <v>27</v>
      </c>
      <c r="M7">
        <v>3</v>
      </c>
      <c r="N7">
        <v>27</v>
      </c>
      <c r="O7">
        <v>4</v>
      </c>
      <c r="P7">
        <v>2</v>
      </c>
      <c r="Q7" t="s">
        <v>27</v>
      </c>
    </row>
    <row r="8" spans="1:17" x14ac:dyDescent="0.3">
      <c r="A8" t="s">
        <v>39</v>
      </c>
      <c r="B8">
        <v>45</v>
      </c>
      <c r="C8" t="s">
        <v>35</v>
      </c>
      <c r="D8" t="s">
        <v>19</v>
      </c>
      <c r="E8" t="s">
        <v>40</v>
      </c>
      <c r="F8">
        <v>6726</v>
      </c>
      <c r="G8">
        <v>5</v>
      </c>
      <c r="H8" t="s">
        <v>21</v>
      </c>
      <c r="I8" t="s">
        <v>22</v>
      </c>
      <c r="J8">
        <v>4</v>
      </c>
      <c r="K8">
        <v>4</v>
      </c>
      <c r="L8" t="s">
        <v>23</v>
      </c>
      <c r="M8">
        <v>3</v>
      </c>
      <c r="N8">
        <v>3</v>
      </c>
      <c r="O8">
        <v>4</v>
      </c>
      <c r="P8">
        <v>3</v>
      </c>
      <c r="Q8" t="s">
        <v>27</v>
      </c>
    </row>
    <row r="9" spans="1:17" x14ac:dyDescent="0.3">
      <c r="A9" t="s">
        <v>41</v>
      </c>
      <c r="B9">
        <v>29</v>
      </c>
      <c r="C9" t="s">
        <v>35</v>
      </c>
      <c r="D9" t="s">
        <v>19</v>
      </c>
      <c r="E9" t="s">
        <v>40</v>
      </c>
      <c r="F9">
        <v>7999</v>
      </c>
      <c r="G9">
        <v>2</v>
      </c>
      <c r="H9" t="s">
        <v>37</v>
      </c>
      <c r="I9" t="s">
        <v>31</v>
      </c>
      <c r="J9">
        <v>3</v>
      </c>
      <c r="K9">
        <v>3</v>
      </c>
      <c r="L9" t="s">
        <v>27</v>
      </c>
      <c r="M9">
        <v>3</v>
      </c>
      <c r="N9">
        <v>29</v>
      </c>
      <c r="O9">
        <v>3</v>
      </c>
      <c r="P9">
        <v>2</v>
      </c>
      <c r="Q9" t="s">
        <v>27</v>
      </c>
    </row>
    <row r="10" spans="1:17" x14ac:dyDescent="0.3">
      <c r="A10" t="s">
        <v>42</v>
      </c>
      <c r="B10">
        <v>27</v>
      </c>
      <c r="C10" t="s">
        <v>18</v>
      </c>
      <c r="D10" t="s">
        <v>25</v>
      </c>
      <c r="E10" t="s">
        <v>26</v>
      </c>
      <c r="F10">
        <v>9646</v>
      </c>
      <c r="G10">
        <v>9</v>
      </c>
      <c r="H10" t="s">
        <v>37</v>
      </c>
      <c r="I10" t="s">
        <v>31</v>
      </c>
      <c r="J10">
        <v>1</v>
      </c>
      <c r="K10">
        <v>2</v>
      </c>
      <c r="L10" t="s">
        <v>27</v>
      </c>
      <c r="M10">
        <v>4</v>
      </c>
      <c r="N10">
        <v>28</v>
      </c>
      <c r="O10">
        <v>3</v>
      </c>
      <c r="P10">
        <v>4</v>
      </c>
      <c r="Q10" t="s">
        <v>27</v>
      </c>
    </row>
    <row r="11" spans="1:17" x14ac:dyDescent="0.3">
      <c r="A11" t="s">
        <v>43</v>
      </c>
      <c r="B11">
        <v>31</v>
      </c>
      <c r="C11" t="s">
        <v>35</v>
      </c>
      <c r="D11" t="s">
        <v>44</v>
      </c>
      <c r="E11" t="s">
        <v>45</v>
      </c>
      <c r="F11">
        <v>6737</v>
      </c>
      <c r="G11">
        <v>2</v>
      </c>
      <c r="H11" t="s">
        <v>46</v>
      </c>
      <c r="I11" t="s">
        <v>22</v>
      </c>
      <c r="J11">
        <v>4</v>
      </c>
      <c r="K11">
        <v>1</v>
      </c>
      <c r="L11" t="s">
        <v>27</v>
      </c>
      <c r="M11">
        <v>1</v>
      </c>
      <c r="N11">
        <v>8</v>
      </c>
      <c r="O11">
        <v>2</v>
      </c>
      <c r="P11">
        <v>1</v>
      </c>
      <c r="Q11" t="s">
        <v>27</v>
      </c>
    </row>
    <row r="12" spans="1:17" x14ac:dyDescent="0.3">
      <c r="A12" t="s">
        <v>47</v>
      </c>
      <c r="B12">
        <v>49</v>
      </c>
      <c r="C12" t="s">
        <v>18</v>
      </c>
      <c r="D12" t="s">
        <v>44</v>
      </c>
      <c r="E12" t="s">
        <v>45</v>
      </c>
      <c r="F12">
        <v>7714</v>
      </c>
      <c r="G12">
        <v>2</v>
      </c>
      <c r="H12" t="s">
        <v>46</v>
      </c>
      <c r="I12" t="s">
        <v>31</v>
      </c>
      <c r="J12">
        <v>1</v>
      </c>
      <c r="K12">
        <v>2</v>
      </c>
      <c r="L12" t="s">
        <v>27</v>
      </c>
      <c r="M12">
        <v>3</v>
      </c>
      <c r="N12">
        <v>2</v>
      </c>
      <c r="O12">
        <v>2</v>
      </c>
      <c r="P12">
        <v>1</v>
      </c>
      <c r="Q12" t="s">
        <v>27</v>
      </c>
    </row>
    <row r="13" spans="1:17" x14ac:dyDescent="0.3">
      <c r="A13" t="s">
        <v>48</v>
      </c>
      <c r="B13">
        <v>37</v>
      </c>
      <c r="C13" t="s">
        <v>35</v>
      </c>
      <c r="D13" t="s">
        <v>29</v>
      </c>
      <c r="E13" t="s">
        <v>49</v>
      </c>
      <c r="F13">
        <v>6483</v>
      </c>
      <c r="G13">
        <v>1</v>
      </c>
      <c r="H13" t="s">
        <v>37</v>
      </c>
      <c r="I13" t="s">
        <v>31</v>
      </c>
      <c r="J13">
        <v>2</v>
      </c>
      <c r="K13">
        <v>1</v>
      </c>
      <c r="L13" t="s">
        <v>27</v>
      </c>
      <c r="M13">
        <v>4</v>
      </c>
      <c r="N13">
        <v>23</v>
      </c>
      <c r="O13">
        <v>3</v>
      </c>
      <c r="P13">
        <v>3</v>
      </c>
      <c r="Q13" t="s">
        <v>27</v>
      </c>
    </row>
    <row r="14" spans="1:17" x14ac:dyDescent="0.3">
      <c r="A14" t="s">
        <v>50</v>
      </c>
      <c r="B14">
        <v>43</v>
      </c>
      <c r="C14" t="s">
        <v>35</v>
      </c>
      <c r="D14" t="s">
        <v>29</v>
      </c>
      <c r="E14" t="s">
        <v>20</v>
      </c>
      <c r="F14">
        <v>13898</v>
      </c>
      <c r="G14">
        <v>8</v>
      </c>
      <c r="H14" t="s">
        <v>21</v>
      </c>
      <c r="I14" t="s">
        <v>31</v>
      </c>
      <c r="J14">
        <v>1</v>
      </c>
      <c r="K14">
        <v>4</v>
      </c>
      <c r="L14" t="s">
        <v>27</v>
      </c>
      <c r="M14">
        <v>3</v>
      </c>
      <c r="N14">
        <v>3</v>
      </c>
      <c r="O14">
        <v>3</v>
      </c>
      <c r="P14">
        <v>4</v>
      </c>
      <c r="Q14" t="s">
        <v>27</v>
      </c>
    </row>
    <row r="15" spans="1:17" x14ac:dyDescent="0.3">
      <c r="A15" t="s">
        <v>51</v>
      </c>
      <c r="B15">
        <v>32</v>
      </c>
      <c r="C15" t="s">
        <v>35</v>
      </c>
      <c r="D15" t="s">
        <v>19</v>
      </c>
      <c r="E15" t="s">
        <v>40</v>
      </c>
      <c r="F15">
        <v>8960</v>
      </c>
      <c r="G15">
        <v>3</v>
      </c>
      <c r="H15" t="s">
        <v>37</v>
      </c>
      <c r="I15" t="s">
        <v>22</v>
      </c>
      <c r="J15">
        <v>4</v>
      </c>
      <c r="K15">
        <v>1</v>
      </c>
      <c r="L15" t="s">
        <v>27</v>
      </c>
      <c r="M15">
        <v>3</v>
      </c>
      <c r="N15">
        <v>18</v>
      </c>
      <c r="O15">
        <v>6</v>
      </c>
      <c r="P15">
        <v>3</v>
      </c>
      <c r="Q15" t="s">
        <v>27</v>
      </c>
    </row>
    <row r="16" spans="1:17" x14ac:dyDescent="0.3">
      <c r="A16" t="s">
        <v>52</v>
      </c>
      <c r="B16">
        <v>34</v>
      </c>
      <c r="C16" t="s">
        <v>18</v>
      </c>
      <c r="D16" t="s">
        <v>44</v>
      </c>
      <c r="E16" t="s">
        <v>45</v>
      </c>
      <c r="F16">
        <v>11902</v>
      </c>
      <c r="G16">
        <v>10</v>
      </c>
      <c r="H16" t="s">
        <v>21</v>
      </c>
      <c r="I16" t="s">
        <v>31</v>
      </c>
      <c r="J16">
        <v>3</v>
      </c>
      <c r="K16">
        <v>1</v>
      </c>
      <c r="L16" t="s">
        <v>23</v>
      </c>
      <c r="M16">
        <v>3</v>
      </c>
      <c r="N16">
        <v>16</v>
      </c>
      <c r="O16">
        <v>2</v>
      </c>
      <c r="P16">
        <v>4</v>
      </c>
      <c r="Q16" t="s">
        <v>27</v>
      </c>
    </row>
    <row r="17" spans="1:17" x14ac:dyDescent="0.3">
      <c r="A17" t="s">
        <v>53</v>
      </c>
      <c r="B17">
        <v>40</v>
      </c>
      <c r="C17" t="s">
        <v>18</v>
      </c>
      <c r="D17" t="s">
        <v>44</v>
      </c>
      <c r="E17" t="s">
        <v>54</v>
      </c>
      <c r="F17">
        <v>10619</v>
      </c>
      <c r="G17">
        <v>2</v>
      </c>
      <c r="H17" t="s">
        <v>33</v>
      </c>
      <c r="I17" t="s">
        <v>22</v>
      </c>
      <c r="J17">
        <v>1</v>
      </c>
      <c r="K17">
        <v>3</v>
      </c>
      <c r="L17" t="s">
        <v>27</v>
      </c>
      <c r="M17">
        <v>3</v>
      </c>
      <c r="N17">
        <v>14</v>
      </c>
      <c r="O17">
        <v>1</v>
      </c>
      <c r="P17">
        <v>2</v>
      </c>
      <c r="Q17" t="s">
        <v>27</v>
      </c>
    </row>
    <row r="18" spans="1:17" x14ac:dyDescent="0.3">
      <c r="A18" t="s">
        <v>55</v>
      </c>
      <c r="B18">
        <v>30</v>
      </c>
      <c r="C18" t="s">
        <v>18</v>
      </c>
      <c r="D18" t="s">
        <v>25</v>
      </c>
      <c r="E18" t="s">
        <v>26</v>
      </c>
      <c r="F18">
        <v>7197</v>
      </c>
      <c r="G18">
        <v>6</v>
      </c>
      <c r="H18" t="s">
        <v>37</v>
      </c>
      <c r="I18" t="s">
        <v>56</v>
      </c>
      <c r="J18">
        <v>3</v>
      </c>
      <c r="K18">
        <v>1</v>
      </c>
      <c r="L18" t="s">
        <v>27</v>
      </c>
      <c r="M18">
        <v>3</v>
      </c>
      <c r="N18">
        <v>27</v>
      </c>
      <c r="O18">
        <v>2</v>
      </c>
      <c r="P18">
        <v>2</v>
      </c>
      <c r="Q18" t="s">
        <v>27</v>
      </c>
    </row>
    <row r="19" spans="1:17" x14ac:dyDescent="0.3">
      <c r="A19" t="s">
        <v>57</v>
      </c>
      <c r="B19">
        <v>18</v>
      </c>
      <c r="C19" t="s">
        <v>35</v>
      </c>
      <c r="D19" t="s">
        <v>29</v>
      </c>
      <c r="E19" t="s">
        <v>20</v>
      </c>
      <c r="F19">
        <v>9474</v>
      </c>
      <c r="G19">
        <v>0</v>
      </c>
      <c r="H19" t="s">
        <v>46</v>
      </c>
      <c r="I19" t="s">
        <v>56</v>
      </c>
      <c r="J19">
        <v>3</v>
      </c>
      <c r="K19">
        <v>4</v>
      </c>
      <c r="L19" t="s">
        <v>27</v>
      </c>
      <c r="M19">
        <v>2</v>
      </c>
      <c r="N19">
        <v>16</v>
      </c>
      <c r="O19">
        <v>2</v>
      </c>
      <c r="P19">
        <v>4</v>
      </c>
      <c r="Q19" t="s">
        <v>23</v>
      </c>
    </row>
    <row r="20" spans="1:17" x14ac:dyDescent="0.3">
      <c r="A20" t="s">
        <v>58</v>
      </c>
      <c r="B20">
        <v>36</v>
      </c>
      <c r="C20" t="s">
        <v>35</v>
      </c>
      <c r="D20" t="s">
        <v>19</v>
      </c>
      <c r="E20" t="s">
        <v>40</v>
      </c>
      <c r="F20">
        <v>14161</v>
      </c>
      <c r="G20">
        <v>15</v>
      </c>
      <c r="H20" t="s">
        <v>37</v>
      </c>
      <c r="I20" t="s">
        <v>22</v>
      </c>
      <c r="J20">
        <v>1</v>
      </c>
      <c r="K20">
        <v>1</v>
      </c>
      <c r="L20" t="s">
        <v>27</v>
      </c>
      <c r="M20">
        <v>3</v>
      </c>
      <c r="N20">
        <v>28</v>
      </c>
      <c r="O20">
        <v>0</v>
      </c>
      <c r="P20">
        <v>4</v>
      </c>
      <c r="Q20" t="s">
        <v>27</v>
      </c>
    </row>
    <row r="21" spans="1:17" x14ac:dyDescent="0.3">
      <c r="A21" t="s">
        <v>59</v>
      </c>
      <c r="B21">
        <v>42</v>
      </c>
      <c r="C21" t="s">
        <v>18</v>
      </c>
      <c r="D21" t="s">
        <v>29</v>
      </c>
      <c r="E21" t="s">
        <v>49</v>
      </c>
      <c r="F21">
        <v>11746</v>
      </c>
      <c r="G21">
        <v>13</v>
      </c>
      <c r="H21" t="s">
        <v>37</v>
      </c>
      <c r="I21" t="s">
        <v>31</v>
      </c>
      <c r="J21">
        <v>2</v>
      </c>
      <c r="K21">
        <v>4</v>
      </c>
      <c r="L21" t="s">
        <v>23</v>
      </c>
      <c r="M21">
        <v>3</v>
      </c>
      <c r="N21">
        <v>23</v>
      </c>
      <c r="O21">
        <v>1</v>
      </c>
      <c r="P21">
        <v>3</v>
      </c>
      <c r="Q21" t="s">
        <v>27</v>
      </c>
    </row>
    <row r="22" spans="1:17" x14ac:dyDescent="0.3">
      <c r="A22" t="s">
        <v>60</v>
      </c>
      <c r="B22">
        <v>19</v>
      </c>
      <c r="C22" t="s">
        <v>35</v>
      </c>
      <c r="D22" t="s">
        <v>25</v>
      </c>
      <c r="E22" t="s">
        <v>61</v>
      </c>
      <c r="F22">
        <v>7791</v>
      </c>
      <c r="G22">
        <v>1</v>
      </c>
      <c r="H22" t="s">
        <v>46</v>
      </c>
      <c r="I22" t="s">
        <v>31</v>
      </c>
      <c r="J22">
        <v>2</v>
      </c>
      <c r="K22">
        <v>1</v>
      </c>
      <c r="L22" t="s">
        <v>27</v>
      </c>
      <c r="M22">
        <v>2</v>
      </c>
      <c r="N22">
        <v>7</v>
      </c>
      <c r="O22">
        <v>0</v>
      </c>
      <c r="P22">
        <v>4</v>
      </c>
      <c r="Q22" t="s">
        <v>27</v>
      </c>
    </row>
    <row r="23" spans="1:17" x14ac:dyDescent="0.3">
      <c r="A23" t="s">
        <v>62</v>
      </c>
      <c r="B23">
        <v>34</v>
      </c>
      <c r="C23" t="s">
        <v>18</v>
      </c>
      <c r="D23" t="s">
        <v>25</v>
      </c>
      <c r="E23" t="s">
        <v>20</v>
      </c>
      <c r="F23">
        <v>11163</v>
      </c>
      <c r="G23">
        <v>2</v>
      </c>
      <c r="H23" t="s">
        <v>37</v>
      </c>
      <c r="I23" t="s">
        <v>22</v>
      </c>
      <c r="J23">
        <v>3</v>
      </c>
      <c r="K23">
        <v>2</v>
      </c>
      <c r="L23" t="s">
        <v>27</v>
      </c>
      <c r="M23">
        <v>2</v>
      </c>
      <c r="N23">
        <v>30</v>
      </c>
      <c r="O23">
        <v>4</v>
      </c>
      <c r="P23">
        <v>2</v>
      </c>
      <c r="Q23" t="s">
        <v>27</v>
      </c>
    </row>
    <row r="24" spans="1:17" x14ac:dyDescent="0.3">
      <c r="A24" t="s">
        <v>63</v>
      </c>
      <c r="B24">
        <v>41</v>
      </c>
      <c r="C24" t="s">
        <v>18</v>
      </c>
      <c r="D24" t="s">
        <v>19</v>
      </c>
      <c r="E24" t="s">
        <v>40</v>
      </c>
      <c r="F24">
        <v>6030</v>
      </c>
      <c r="G24">
        <v>1</v>
      </c>
      <c r="H24" t="s">
        <v>21</v>
      </c>
      <c r="I24" t="s">
        <v>56</v>
      </c>
      <c r="J24">
        <v>4</v>
      </c>
      <c r="K24">
        <v>1</v>
      </c>
      <c r="L24" t="s">
        <v>27</v>
      </c>
      <c r="M24">
        <v>3</v>
      </c>
      <c r="N24">
        <v>20</v>
      </c>
      <c r="O24">
        <v>5</v>
      </c>
      <c r="P24">
        <v>3</v>
      </c>
      <c r="Q24" t="s">
        <v>27</v>
      </c>
    </row>
    <row r="25" spans="1:17" x14ac:dyDescent="0.3">
      <c r="A25" t="s">
        <v>64</v>
      </c>
      <c r="B25">
        <v>28</v>
      </c>
      <c r="C25" t="s">
        <v>35</v>
      </c>
      <c r="D25" t="s">
        <v>29</v>
      </c>
      <c r="E25" t="s">
        <v>49</v>
      </c>
      <c r="F25">
        <v>8934</v>
      </c>
      <c r="G25">
        <v>2</v>
      </c>
      <c r="H25" t="s">
        <v>37</v>
      </c>
      <c r="I25" t="s">
        <v>22</v>
      </c>
      <c r="J25">
        <v>3</v>
      </c>
      <c r="K25">
        <v>2</v>
      </c>
      <c r="L25" t="s">
        <v>23</v>
      </c>
      <c r="M25">
        <v>4</v>
      </c>
      <c r="N25">
        <v>23</v>
      </c>
      <c r="O25">
        <v>6</v>
      </c>
      <c r="P25">
        <v>1</v>
      </c>
      <c r="Q25" t="s">
        <v>27</v>
      </c>
    </row>
    <row r="26" spans="1:17" x14ac:dyDescent="0.3">
      <c r="A26" t="s">
        <v>65</v>
      </c>
      <c r="B26">
        <v>41</v>
      </c>
      <c r="C26" t="s">
        <v>18</v>
      </c>
      <c r="D26" t="s">
        <v>19</v>
      </c>
      <c r="E26" t="s">
        <v>40</v>
      </c>
      <c r="F26">
        <v>9229</v>
      </c>
      <c r="G26">
        <v>1</v>
      </c>
      <c r="H26" t="s">
        <v>37</v>
      </c>
      <c r="I26" t="s">
        <v>31</v>
      </c>
      <c r="J26">
        <v>4</v>
      </c>
      <c r="K26">
        <v>1</v>
      </c>
      <c r="L26" t="s">
        <v>27</v>
      </c>
      <c r="M26">
        <v>3</v>
      </c>
      <c r="N26">
        <v>22</v>
      </c>
      <c r="O26">
        <v>4</v>
      </c>
      <c r="P26">
        <v>3</v>
      </c>
      <c r="Q26" t="s">
        <v>23</v>
      </c>
    </row>
    <row r="27" spans="1:17" x14ac:dyDescent="0.3">
      <c r="A27" t="s">
        <v>66</v>
      </c>
      <c r="B27">
        <v>37</v>
      </c>
      <c r="C27" t="s">
        <v>18</v>
      </c>
      <c r="D27" t="s">
        <v>25</v>
      </c>
      <c r="E27" t="s">
        <v>26</v>
      </c>
      <c r="F27">
        <v>9244</v>
      </c>
      <c r="G27">
        <v>3</v>
      </c>
      <c r="H27" t="s">
        <v>21</v>
      </c>
      <c r="I27" t="s">
        <v>31</v>
      </c>
      <c r="J27">
        <v>2</v>
      </c>
      <c r="K27">
        <v>2</v>
      </c>
      <c r="L27" t="s">
        <v>27</v>
      </c>
      <c r="M27">
        <v>3</v>
      </c>
      <c r="N27">
        <v>1</v>
      </c>
      <c r="O27">
        <v>5</v>
      </c>
      <c r="P27">
        <v>2</v>
      </c>
      <c r="Q27" t="s">
        <v>27</v>
      </c>
    </row>
    <row r="28" spans="1:17" x14ac:dyDescent="0.3">
      <c r="A28" t="s">
        <v>67</v>
      </c>
      <c r="B28">
        <v>34</v>
      </c>
      <c r="C28" t="s">
        <v>18</v>
      </c>
      <c r="D28" t="s">
        <v>25</v>
      </c>
      <c r="E28" t="s">
        <v>26</v>
      </c>
      <c r="F28">
        <v>14776</v>
      </c>
      <c r="G28">
        <v>9</v>
      </c>
      <c r="H28" t="s">
        <v>33</v>
      </c>
      <c r="I28" t="s">
        <v>31</v>
      </c>
      <c r="J28">
        <v>1</v>
      </c>
      <c r="K28">
        <v>1</v>
      </c>
      <c r="L28" t="s">
        <v>23</v>
      </c>
      <c r="M28">
        <v>2</v>
      </c>
      <c r="N28">
        <v>23</v>
      </c>
      <c r="O28">
        <v>1</v>
      </c>
      <c r="P28">
        <v>1</v>
      </c>
      <c r="Q28" t="s">
        <v>27</v>
      </c>
    </row>
    <row r="29" spans="1:17" x14ac:dyDescent="0.3">
      <c r="A29" t="s">
        <v>68</v>
      </c>
      <c r="B29">
        <v>51</v>
      </c>
      <c r="C29" t="s">
        <v>18</v>
      </c>
      <c r="D29" t="s">
        <v>19</v>
      </c>
      <c r="E29" t="s">
        <v>36</v>
      </c>
      <c r="F29">
        <v>9286</v>
      </c>
      <c r="G29">
        <v>14</v>
      </c>
      <c r="H29" t="s">
        <v>46</v>
      </c>
      <c r="I29" t="s">
        <v>22</v>
      </c>
      <c r="J29">
        <v>3</v>
      </c>
      <c r="K29">
        <v>1</v>
      </c>
      <c r="L29" t="s">
        <v>27</v>
      </c>
      <c r="M29">
        <v>4</v>
      </c>
      <c r="N29">
        <v>12</v>
      </c>
      <c r="O29">
        <v>4</v>
      </c>
      <c r="P29">
        <v>1</v>
      </c>
      <c r="Q29" t="s">
        <v>27</v>
      </c>
    </row>
    <row r="30" spans="1:17" x14ac:dyDescent="0.3">
      <c r="A30" t="s">
        <v>69</v>
      </c>
      <c r="B30">
        <v>41</v>
      </c>
      <c r="C30" t="s">
        <v>18</v>
      </c>
      <c r="D30" t="s">
        <v>70</v>
      </c>
      <c r="E30" t="s">
        <v>71</v>
      </c>
      <c r="F30">
        <v>5663</v>
      </c>
      <c r="G30">
        <v>0</v>
      </c>
      <c r="H30" t="s">
        <v>21</v>
      </c>
      <c r="I30" t="s">
        <v>31</v>
      </c>
      <c r="J30">
        <v>2</v>
      </c>
      <c r="K30">
        <v>3</v>
      </c>
      <c r="L30" t="s">
        <v>27</v>
      </c>
      <c r="M30">
        <v>2</v>
      </c>
      <c r="N30">
        <v>21</v>
      </c>
      <c r="O30">
        <v>1</v>
      </c>
      <c r="P30">
        <v>1</v>
      </c>
      <c r="Q30" t="s">
        <v>27</v>
      </c>
    </row>
    <row r="31" spans="1:17" x14ac:dyDescent="0.3">
      <c r="A31" t="s">
        <v>72</v>
      </c>
      <c r="B31">
        <v>39</v>
      </c>
      <c r="C31" t="s">
        <v>18</v>
      </c>
      <c r="D31" t="s">
        <v>19</v>
      </c>
      <c r="E31" t="s">
        <v>40</v>
      </c>
      <c r="F31">
        <v>17048</v>
      </c>
      <c r="G31">
        <v>21</v>
      </c>
      <c r="H31" t="s">
        <v>37</v>
      </c>
      <c r="I31" t="s">
        <v>31</v>
      </c>
      <c r="J31">
        <v>4</v>
      </c>
      <c r="K31">
        <v>4</v>
      </c>
      <c r="L31" t="s">
        <v>27</v>
      </c>
      <c r="M31">
        <v>3</v>
      </c>
      <c r="N31">
        <v>24</v>
      </c>
      <c r="O31">
        <v>6</v>
      </c>
      <c r="P31">
        <v>2</v>
      </c>
      <c r="Q31" t="s">
        <v>27</v>
      </c>
    </row>
    <row r="32" spans="1:17" x14ac:dyDescent="0.3">
      <c r="A32" t="s">
        <v>73</v>
      </c>
      <c r="B32">
        <v>34</v>
      </c>
      <c r="C32" t="s">
        <v>35</v>
      </c>
      <c r="D32" t="s">
        <v>74</v>
      </c>
      <c r="E32" t="s">
        <v>75</v>
      </c>
      <c r="F32">
        <v>11775</v>
      </c>
      <c r="G32">
        <v>8</v>
      </c>
      <c r="H32" t="s">
        <v>37</v>
      </c>
      <c r="I32" t="s">
        <v>56</v>
      </c>
      <c r="J32">
        <v>2</v>
      </c>
      <c r="K32">
        <v>1</v>
      </c>
      <c r="L32" t="s">
        <v>27</v>
      </c>
      <c r="M32">
        <v>3</v>
      </c>
      <c r="N32">
        <v>12</v>
      </c>
      <c r="O32">
        <v>4</v>
      </c>
      <c r="P32">
        <v>1</v>
      </c>
      <c r="Q32" t="s">
        <v>27</v>
      </c>
    </row>
    <row r="33" spans="1:17" x14ac:dyDescent="0.3">
      <c r="A33" t="s">
        <v>76</v>
      </c>
      <c r="B33">
        <v>27</v>
      </c>
      <c r="C33" t="s">
        <v>18</v>
      </c>
      <c r="D33" t="s">
        <v>44</v>
      </c>
      <c r="E33" t="s">
        <v>54</v>
      </c>
      <c r="F33">
        <v>10716</v>
      </c>
      <c r="G33">
        <v>1</v>
      </c>
      <c r="H33" t="s">
        <v>33</v>
      </c>
      <c r="I33" t="s">
        <v>56</v>
      </c>
      <c r="J33">
        <v>1</v>
      </c>
      <c r="K33">
        <v>4</v>
      </c>
      <c r="L33" t="s">
        <v>27</v>
      </c>
      <c r="M33">
        <v>3</v>
      </c>
      <c r="N33">
        <v>23</v>
      </c>
      <c r="O33">
        <v>0</v>
      </c>
      <c r="P33">
        <v>3</v>
      </c>
      <c r="Q33" t="s">
        <v>23</v>
      </c>
    </row>
    <row r="34" spans="1:17" x14ac:dyDescent="0.3">
      <c r="A34" t="s">
        <v>77</v>
      </c>
      <c r="B34">
        <v>48</v>
      </c>
      <c r="C34" t="s">
        <v>18</v>
      </c>
      <c r="D34" t="s">
        <v>25</v>
      </c>
      <c r="E34" t="s">
        <v>61</v>
      </c>
      <c r="F34">
        <v>14878</v>
      </c>
      <c r="G34">
        <v>17</v>
      </c>
      <c r="H34" t="s">
        <v>37</v>
      </c>
      <c r="I34" t="s">
        <v>56</v>
      </c>
      <c r="J34">
        <v>1</v>
      </c>
      <c r="K34">
        <v>2</v>
      </c>
      <c r="L34" t="s">
        <v>27</v>
      </c>
      <c r="M34">
        <v>4</v>
      </c>
      <c r="N34">
        <v>6</v>
      </c>
      <c r="O34">
        <v>6</v>
      </c>
      <c r="P34">
        <v>2</v>
      </c>
      <c r="Q34" t="s">
        <v>27</v>
      </c>
    </row>
    <row r="35" spans="1:17" x14ac:dyDescent="0.3">
      <c r="A35" t="s">
        <v>78</v>
      </c>
      <c r="B35">
        <v>37</v>
      </c>
      <c r="C35" t="s">
        <v>35</v>
      </c>
      <c r="D35" t="s">
        <v>25</v>
      </c>
      <c r="E35" t="s">
        <v>26</v>
      </c>
      <c r="F35">
        <v>7918</v>
      </c>
      <c r="G35">
        <v>9</v>
      </c>
      <c r="H35" t="s">
        <v>37</v>
      </c>
      <c r="I35" t="s">
        <v>22</v>
      </c>
      <c r="J35">
        <v>2</v>
      </c>
      <c r="K35">
        <v>4</v>
      </c>
      <c r="L35" t="s">
        <v>23</v>
      </c>
      <c r="M35">
        <v>4</v>
      </c>
      <c r="N35">
        <v>13</v>
      </c>
      <c r="O35">
        <v>3</v>
      </c>
      <c r="P35">
        <v>4</v>
      </c>
      <c r="Q35" t="s">
        <v>27</v>
      </c>
    </row>
    <row r="36" spans="1:17" x14ac:dyDescent="0.3">
      <c r="A36" t="s">
        <v>79</v>
      </c>
      <c r="B36">
        <v>28</v>
      </c>
      <c r="C36" t="s">
        <v>35</v>
      </c>
      <c r="D36" t="s">
        <v>74</v>
      </c>
      <c r="E36" t="s">
        <v>75</v>
      </c>
      <c r="F36">
        <v>3573</v>
      </c>
      <c r="G36">
        <v>1</v>
      </c>
      <c r="H36" t="s">
        <v>21</v>
      </c>
      <c r="I36" t="s">
        <v>22</v>
      </c>
      <c r="J36">
        <v>2</v>
      </c>
      <c r="K36">
        <v>4</v>
      </c>
      <c r="L36" t="s">
        <v>27</v>
      </c>
      <c r="M36">
        <v>3</v>
      </c>
      <c r="N36">
        <v>8</v>
      </c>
      <c r="O36">
        <v>4</v>
      </c>
      <c r="P36">
        <v>3</v>
      </c>
      <c r="Q36" t="s">
        <v>27</v>
      </c>
    </row>
    <row r="37" spans="1:17" x14ac:dyDescent="0.3">
      <c r="A37" t="s">
        <v>80</v>
      </c>
      <c r="B37">
        <v>34</v>
      </c>
      <c r="C37" t="s">
        <v>35</v>
      </c>
      <c r="D37" t="s">
        <v>19</v>
      </c>
      <c r="E37" t="s">
        <v>40</v>
      </c>
      <c r="F37">
        <v>5880</v>
      </c>
      <c r="G37">
        <v>2</v>
      </c>
      <c r="H37" t="s">
        <v>21</v>
      </c>
      <c r="I37" t="s">
        <v>22</v>
      </c>
      <c r="J37">
        <v>2</v>
      </c>
      <c r="K37">
        <v>4</v>
      </c>
      <c r="L37" t="s">
        <v>27</v>
      </c>
      <c r="M37">
        <v>3</v>
      </c>
      <c r="N37">
        <v>15</v>
      </c>
      <c r="O37">
        <v>4</v>
      </c>
      <c r="P37">
        <v>4</v>
      </c>
      <c r="Q37" t="s">
        <v>27</v>
      </c>
    </row>
    <row r="38" spans="1:17" x14ac:dyDescent="0.3">
      <c r="A38" t="s">
        <v>81</v>
      </c>
      <c r="B38">
        <v>30</v>
      </c>
      <c r="C38" t="s">
        <v>18</v>
      </c>
      <c r="D38" t="s">
        <v>74</v>
      </c>
      <c r="E38" t="s">
        <v>75</v>
      </c>
      <c r="F38">
        <v>5948</v>
      </c>
      <c r="G38">
        <v>1</v>
      </c>
      <c r="H38" t="s">
        <v>46</v>
      </c>
      <c r="I38" t="s">
        <v>31</v>
      </c>
      <c r="J38">
        <v>1</v>
      </c>
      <c r="K38">
        <v>1</v>
      </c>
      <c r="L38" t="s">
        <v>27</v>
      </c>
      <c r="M38">
        <v>3</v>
      </c>
      <c r="N38">
        <v>23</v>
      </c>
      <c r="O38">
        <v>0</v>
      </c>
      <c r="P38">
        <v>3</v>
      </c>
      <c r="Q38" t="s">
        <v>27</v>
      </c>
    </row>
    <row r="39" spans="1:17" x14ac:dyDescent="0.3">
      <c r="A39" t="s">
        <v>82</v>
      </c>
      <c r="B39">
        <v>37</v>
      </c>
      <c r="C39" t="s">
        <v>35</v>
      </c>
      <c r="D39" t="s">
        <v>25</v>
      </c>
      <c r="E39" t="s">
        <v>26</v>
      </c>
      <c r="F39">
        <v>5526</v>
      </c>
      <c r="G39">
        <v>2</v>
      </c>
      <c r="H39" t="s">
        <v>37</v>
      </c>
      <c r="I39" t="s">
        <v>31</v>
      </c>
      <c r="J39">
        <v>4</v>
      </c>
      <c r="K39">
        <v>2</v>
      </c>
      <c r="L39" t="s">
        <v>23</v>
      </c>
      <c r="M39">
        <v>3</v>
      </c>
      <c r="N39">
        <v>4</v>
      </c>
      <c r="O39">
        <v>2</v>
      </c>
      <c r="P39">
        <v>2</v>
      </c>
      <c r="Q39" t="s">
        <v>23</v>
      </c>
    </row>
    <row r="40" spans="1:17" x14ac:dyDescent="0.3">
      <c r="A40" t="s">
        <v>83</v>
      </c>
      <c r="B40">
        <v>23</v>
      </c>
      <c r="C40" t="s">
        <v>35</v>
      </c>
      <c r="D40" t="s">
        <v>70</v>
      </c>
      <c r="E40" t="s">
        <v>71</v>
      </c>
      <c r="F40">
        <v>12046</v>
      </c>
      <c r="G40">
        <v>5</v>
      </c>
      <c r="H40" t="s">
        <v>37</v>
      </c>
      <c r="I40" t="s">
        <v>31</v>
      </c>
      <c r="J40">
        <v>2</v>
      </c>
      <c r="K40">
        <v>3</v>
      </c>
      <c r="L40" t="s">
        <v>23</v>
      </c>
      <c r="M40">
        <v>1</v>
      </c>
      <c r="N40">
        <v>1</v>
      </c>
      <c r="O40">
        <v>5</v>
      </c>
      <c r="P40">
        <v>1</v>
      </c>
      <c r="Q40" t="s">
        <v>27</v>
      </c>
    </row>
    <row r="41" spans="1:17" x14ac:dyDescent="0.3">
      <c r="A41" t="s">
        <v>84</v>
      </c>
      <c r="B41">
        <v>36</v>
      </c>
      <c r="C41" t="s">
        <v>35</v>
      </c>
      <c r="D41" t="s">
        <v>19</v>
      </c>
      <c r="E41" t="s">
        <v>20</v>
      </c>
      <c r="F41">
        <v>12851</v>
      </c>
      <c r="G41">
        <v>3</v>
      </c>
      <c r="H41" t="s">
        <v>33</v>
      </c>
      <c r="I41" t="s">
        <v>31</v>
      </c>
      <c r="J41">
        <v>3</v>
      </c>
      <c r="K41">
        <v>3</v>
      </c>
      <c r="L41" t="s">
        <v>23</v>
      </c>
      <c r="M41">
        <v>1</v>
      </c>
      <c r="N41">
        <v>6</v>
      </c>
      <c r="O41">
        <v>3</v>
      </c>
      <c r="P41">
        <v>1</v>
      </c>
      <c r="Q41" t="s">
        <v>27</v>
      </c>
    </row>
    <row r="42" spans="1:17" x14ac:dyDescent="0.3">
      <c r="A42" t="s">
        <v>85</v>
      </c>
      <c r="B42">
        <v>30</v>
      </c>
      <c r="C42" t="s">
        <v>18</v>
      </c>
      <c r="D42" t="s">
        <v>74</v>
      </c>
      <c r="E42" t="s">
        <v>20</v>
      </c>
      <c r="F42">
        <v>13021</v>
      </c>
      <c r="G42">
        <v>2</v>
      </c>
      <c r="H42" t="s">
        <v>37</v>
      </c>
      <c r="I42" t="s">
        <v>22</v>
      </c>
      <c r="J42">
        <v>2</v>
      </c>
      <c r="K42">
        <v>1</v>
      </c>
      <c r="L42" t="s">
        <v>27</v>
      </c>
      <c r="M42">
        <v>3</v>
      </c>
      <c r="N42">
        <v>30</v>
      </c>
      <c r="O42">
        <v>0</v>
      </c>
      <c r="P42">
        <v>1</v>
      </c>
      <c r="Q42" t="s">
        <v>27</v>
      </c>
    </row>
    <row r="43" spans="1:17" x14ac:dyDescent="0.3">
      <c r="A43" t="s">
        <v>86</v>
      </c>
      <c r="B43">
        <v>34</v>
      </c>
      <c r="C43" t="s">
        <v>35</v>
      </c>
      <c r="D43" t="s">
        <v>70</v>
      </c>
      <c r="E43" t="s">
        <v>71</v>
      </c>
      <c r="F43">
        <v>13342</v>
      </c>
      <c r="G43">
        <v>9</v>
      </c>
      <c r="H43" t="s">
        <v>21</v>
      </c>
      <c r="I43" t="s">
        <v>31</v>
      </c>
      <c r="J43">
        <v>2</v>
      </c>
      <c r="K43">
        <v>4</v>
      </c>
      <c r="L43" t="s">
        <v>27</v>
      </c>
      <c r="M43">
        <v>4</v>
      </c>
      <c r="N43">
        <v>25</v>
      </c>
      <c r="O43">
        <v>0</v>
      </c>
      <c r="P43">
        <v>4</v>
      </c>
      <c r="Q43" t="s">
        <v>27</v>
      </c>
    </row>
    <row r="44" spans="1:17" x14ac:dyDescent="0.3">
      <c r="A44" t="s">
        <v>87</v>
      </c>
      <c r="B44">
        <v>42</v>
      </c>
      <c r="C44" t="s">
        <v>18</v>
      </c>
      <c r="D44" t="s">
        <v>74</v>
      </c>
      <c r="E44" t="s">
        <v>75</v>
      </c>
      <c r="F44">
        <v>4234</v>
      </c>
      <c r="G44">
        <v>2</v>
      </c>
      <c r="H44" t="s">
        <v>21</v>
      </c>
      <c r="I44" t="s">
        <v>56</v>
      </c>
      <c r="J44">
        <v>3</v>
      </c>
      <c r="K44">
        <v>3</v>
      </c>
      <c r="L44" t="s">
        <v>27</v>
      </c>
      <c r="M44">
        <v>3</v>
      </c>
      <c r="N44">
        <v>6</v>
      </c>
      <c r="O44">
        <v>0</v>
      </c>
      <c r="P44">
        <v>4</v>
      </c>
      <c r="Q44" t="s">
        <v>27</v>
      </c>
    </row>
    <row r="45" spans="1:17" x14ac:dyDescent="0.3">
      <c r="A45" t="s">
        <v>88</v>
      </c>
      <c r="B45">
        <v>33</v>
      </c>
      <c r="C45" t="s">
        <v>35</v>
      </c>
      <c r="D45" t="s">
        <v>44</v>
      </c>
      <c r="E45" t="s">
        <v>45</v>
      </c>
      <c r="F45">
        <v>8383</v>
      </c>
      <c r="G45">
        <v>1</v>
      </c>
      <c r="H45" t="s">
        <v>46</v>
      </c>
      <c r="I45" t="s">
        <v>22</v>
      </c>
      <c r="J45">
        <v>4</v>
      </c>
      <c r="K45">
        <v>1</v>
      </c>
      <c r="L45" t="s">
        <v>27</v>
      </c>
      <c r="M45">
        <v>3</v>
      </c>
      <c r="N45">
        <v>13</v>
      </c>
      <c r="O45">
        <v>5</v>
      </c>
      <c r="P45">
        <v>3</v>
      </c>
      <c r="Q45" t="s">
        <v>27</v>
      </c>
    </row>
    <row r="46" spans="1:17" x14ac:dyDescent="0.3">
      <c r="A46" t="s">
        <v>89</v>
      </c>
      <c r="B46">
        <v>36</v>
      </c>
      <c r="C46" t="s">
        <v>35</v>
      </c>
      <c r="D46" t="s">
        <v>25</v>
      </c>
      <c r="E46" t="s">
        <v>26</v>
      </c>
      <c r="F46">
        <v>5258</v>
      </c>
      <c r="G46">
        <v>1</v>
      </c>
      <c r="H46" t="s">
        <v>21</v>
      </c>
      <c r="I46" t="s">
        <v>22</v>
      </c>
      <c r="J46">
        <v>4</v>
      </c>
      <c r="K46">
        <v>1</v>
      </c>
      <c r="L46" t="s">
        <v>27</v>
      </c>
      <c r="M46">
        <v>3</v>
      </c>
      <c r="N46">
        <v>29</v>
      </c>
      <c r="O46">
        <v>1</v>
      </c>
      <c r="P46">
        <v>1</v>
      </c>
      <c r="Q46" t="s">
        <v>27</v>
      </c>
    </row>
    <row r="47" spans="1:17" x14ac:dyDescent="0.3">
      <c r="A47" t="s">
        <v>90</v>
      </c>
      <c r="B47">
        <v>47</v>
      </c>
      <c r="C47" t="s">
        <v>35</v>
      </c>
      <c r="D47" t="s">
        <v>19</v>
      </c>
      <c r="E47" t="s">
        <v>40</v>
      </c>
      <c r="F47">
        <v>11686</v>
      </c>
      <c r="G47">
        <v>2</v>
      </c>
      <c r="H47" t="s">
        <v>21</v>
      </c>
      <c r="I47" t="s">
        <v>31</v>
      </c>
      <c r="J47">
        <v>2</v>
      </c>
      <c r="K47">
        <v>2</v>
      </c>
      <c r="L47" t="s">
        <v>23</v>
      </c>
      <c r="M47">
        <v>3</v>
      </c>
      <c r="N47">
        <v>27</v>
      </c>
      <c r="O47">
        <v>0</v>
      </c>
      <c r="P47">
        <v>2</v>
      </c>
      <c r="Q47" t="s">
        <v>27</v>
      </c>
    </row>
    <row r="48" spans="1:17" x14ac:dyDescent="0.3">
      <c r="A48" t="s">
        <v>91</v>
      </c>
      <c r="B48">
        <v>35</v>
      </c>
      <c r="C48" t="s">
        <v>35</v>
      </c>
      <c r="D48" t="s">
        <v>25</v>
      </c>
      <c r="E48" t="s">
        <v>26</v>
      </c>
      <c r="F48">
        <v>12754</v>
      </c>
      <c r="G48">
        <v>17</v>
      </c>
      <c r="H48" t="s">
        <v>46</v>
      </c>
      <c r="I48" t="s">
        <v>22</v>
      </c>
      <c r="J48">
        <v>3</v>
      </c>
      <c r="K48">
        <v>3</v>
      </c>
      <c r="L48" t="s">
        <v>27</v>
      </c>
      <c r="M48">
        <v>2</v>
      </c>
      <c r="N48">
        <v>28</v>
      </c>
      <c r="O48">
        <v>6</v>
      </c>
      <c r="P48">
        <v>2</v>
      </c>
      <c r="Q48" t="s">
        <v>27</v>
      </c>
    </row>
    <row r="49" spans="1:17" x14ac:dyDescent="0.3">
      <c r="A49" t="s">
        <v>92</v>
      </c>
      <c r="B49">
        <v>37</v>
      </c>
      <c r="C49" t="s">
        <v>35</v>
      </c>
      <c r="D49" t="s">
        <v>25</v>
      </c>
      <c r="E49" t="s">
        <v>61</v>
      </c>
      <c r="F49">
        <v>7671</v>
      </c>
      <c r="G49">
        <v>0</v>
      </c>
      <c r="H49" t="s">
        <v>37</v>
      </c>
      <c r="I49" t="s">
        <v>22</v>
      </c>
      <c r="J49">
        <v>2</v>
      </c>
      <c r="K49">
        <v>2</v>
      </c>
      <c r="L49" t="s">
        <v>27</v>
      </c>
      <c r="M49">
        <v>3</v>
      </c>
      <c r="N49">
        <v>25</v>
      </c>
      <c r="O49">
        <v>6</v>
      </c>
      <c r="P49">
        <v>1</v>
      </c>
      <c r="Q49" t="s">
        <v>27</v>
      </c>
    </row>
    <row r="50" spans="1:17" x14ac:dyDescent="0.3">
      <c r="A50" t="s">
        <v>93</v>
      </c>
      <c r="B50">
        <v>35</v>
      </c>
      <c r="C50" t="s">
        <v>18</v>
      </c>
      <c r="D50" t="s">
        <v>19</v>
      </c>
      <c r="E50" t="s">
        <v>40</v>
      </c>
      <c r="F50">
        <v>10389</v>
      </c>
      <c r="G50">
        <v>5</v>
      </c>
      <c r="H50" t="s">
        <v>37</v>
      </c>
      <c r="I50" t="s">
        <v>22</v>
      </c>
      <c r="J50">
        <v>3</v>
      </c>
      <c r="K50">
        <v>1</v>
      </c>
      <c r="L50" t="s">
        <v>27</v>
      </c>
      <c r="M50">
        <v>2</v>
      </c>
      <c r="N50">
        <v>15</v>
      </c>
      <c r="O50">
        <v>5</v>
      </c>
      <c r="P50">
        <v>2</v>
      </c>
      <c r="Q50" t="s">
        <v>27</v>
      </c>
    </row>
    <row r="51" spans="1:17" x14ac:dyDescent="0.3">
      <c r="A51" t="s">
        <v>94</v>
      </c>
      <c r="B51">
        <v>41</v>
      </c>
      <c r="C51" t="s">
        <v>18</v>
      </c>
      <c r="D51" t="s">
        <v>19</v>
      </c>
      <c r="E51" t="s">
        <v>40</v>
      </c>
      <c r="F51">
        <v>10836</v>
      </c>
      <c r="G51">
        <v>2</v>
      </c>
      <c r="H51" t="s">
        <v>37</v>
      </c>
      <c r="I51" t="s">
        <v>22</v>
      </c>
      <c r="J51">
        <v>1</v>
      </c>
      <c r="K51">
        <v>2</v>
      </c>
      <c r="L51" t="s">
        <v>27</v>
      </c>
      <c r="M51">
        <v>2</v>
      </c>
      <c r="N51">
        <v>22</v>
      </c>
      <c r="O51">
        <v>4</v>
      </c>
      <c r="P51">
        <v>2</v>
      </c>
      <c r="Q51" t="s">
        <v>27</v>
      </c>
    </row>
    <row r="52" spans="1:17" x14ac:dyDescent="0.3">
      <c r="A52" t="s">
        <v>95</v>
      </c>
      <c r="B52">
        <v>18</v>
      </c>
      <c r="C52" t="s">
        <v>18</v>
      </c>
      <c r="D52" t="s">
        <v>19</v>
      </c>
      <c r="E52" t="s">
        <v>40</v>
      </c>
      <c r="F52">
        <v>7732</v>
      </c>
      <c r="G52">
        <v>0</v>
      </c>
      <c r="H52" t="s">
        <v>37</v>
      </c>
      <c r="I52" t="s">
        <v>31</v>
      </c>
      <c r="J52">
        <v>3</v>
      </c>
      <c r="K52">
        <v>2</v>
      </c>
      <c r="L52" t="s">
        <v>27</v>
      </c>
      <c r="M52">
        <v>4</v>
      </c>
      <c r="N52">
        <v>4</v>
      </c>
      <c r="O52">
        <v>6</v>
      </c>
      <c r="P52">
        <v>2</v>
      </c>
      <c r="Q52" t="s">
        <v>27</v>
      </c>
    </row>
    <row r="53" spans="1:17" x14ac:dyDescent="0.3">
      <c r="A53" t="s">
        <v>96</v>
      </c>
      <c r="B53">
        <v>20</v>
      </c>
      <c r="C53" t="s">
        <v>35</v>
      </c>
      <c r="D53" t="s">
        <v>44</v>
      </c>
      <c r="E53" t="s">
        <v>54</v>
      </c>
      <c r="F53">
        <v>8378</v>
      </c>
      <c r="G53">
        <v>2</v>
      </c>
      <c r="H53" t="s">
        <v>21</v>
      </c>
      <c r="I53" t="s">
        <v>22</v>
      </c>
      <c r="J53">
        <v>2</v>
      </c>
      <c r="K53">
        <v>2</v>
      </c>
      <c r="L53" t="s">
        <v>27</v>
      </c>
      <c r="M53">
        <v>3</v>
      </c>
      <c r="N53">
        <v>1</v>
      </c>
      <c r="O53">
        <v>3</v>
      </c>
      <c r="P53">
        <v>1</v>
      </c>
      <c r="Q53" t="s">
        <v>27</v>
      </c>
    </row>
    <row r="54" spans="1:17" x14ac:dyDescent="0.3">
      <c r="A54" t="s">
        <v>97</v>
      </c>
      <c r="B54">
        <v>56</v>
      </c>
      <c r="C54" t="s">
        <v>18</v>
      </c>
      <c r="D54" t="s">
        <v>70</v>
      </c>
      <c r="E54" t="s">
        <v>71</v>
      </c>
      <c r="F54">
        <v>3600</v>
      </c>
      <c r="G54">
        <v>0</v>
      </c>
      <c r="H54" t="s">
        <v>37</v>
      </c>
      <c r="I54" t="s">
        <v>31</v>
      </c>
      <c r="J54">
        <v>2</v>
      </c>
      <c r="K54">
        <v>4</v>
      </c>
      <c r="L54" t="s">
        <v>23</v>
      </c>
      <c r="M54">
        <v>2</v>
      </c>
      <c r="N54">
        <v>12</v>
      </c>
      <c r="O54">
        <v>1</v>
      </c>
      <c r="P54">
        <v>1</v>
      </c>
      <c r="Q54" t="s">
        <v>27</v>
      </c>
    </row>
    <row r="55" spans="1:17" x14ac:dyDescent="0.3">
      <c r="A55" t="s">
        <v>98</v>
      </c>
      <c r="B55">
        <v>18</v>
      </c>
      <c r="C55" t="s">
        <v>18</v>
      </c>
      <c r="D55" t="s">
        <v>74</v>
      </c>
      <c r="E55" t="s">
        <v>99</v>
      </c>
      <c r="F55">
        <v>5065</v>
      </c>
      <c r="G55">
        <v>0</v>
      </c>
      <c r="H55" t="s">
        <v>37</v>
      </c>
      <c r="I55" t="s">
        <v>22</v>
      </c>
      <c r="J55">
        <v>1</v>
      </c>
      <c r="K55">
        <v>1</v>
      </c>
      <c r="L55" t="s">
        <v>27</v>
      </c>
      <c r="M55">
        <v>4</v>
      </c>
      <c r="N55">
        <v>14</v>
      </c>
      <c r="O55">
        <v>4</v>
      </c>
      <c r="P55">
        <v>4</v>
      </c>
      <c r="Q55" t="s">
        <v>27</v>
      </c>
    </row>
    <row r="56" spans="1:17" x14ac:dyDescent="0.3">
      <c r="A56" t="s">
        <v>100</v>
      </c>
      <c r="B56">
        <v>33</v>
      </c>
      <c r="C56" t="s">
        <v>18</v>
      </c>
      <c r="D56" t="s">
        <v>74</v>
      </c>
      <c r="E56" t="s">
        <v>99</v>
      </c>
      <c r="F56">
        <v>9854</v>
      </c>
      <c r="G56">
        <v>7</v>
      </c>
      <c r="H56" t="s">
        <v>37</v>
      </c>
      <c r="I56" t="s">
        <v>56</v>
      </c>
      <c r="J56">
        <v>2</v>
      </c>
      <c r="K56">
        <v>4</v>
      </c>
      <c r="L56" t="s">
        <v>23</v>
      </c>
      <c r="M56">
        <v>2</v>
      </c>
      <c r="N56">
        <v>5</v>
      </c>
      <c r="O56">
        <v>2</v>
      </c>
      <c r="P56">
        <v>3</v>
      </c>
      <c r="Q56" t="s">
        <v>27</v>
      </c>
    </row>
    <row r="57" spans="1:17" x14ac:dyDescent="0.3">
      <c r="A57" t="s">
        <v>101</v>
      </c>
      <c r="B57">
        <v>18</v>
      </c>
      <c r="C57" t="s">
        <v>18</v>
      </c>
      <c r="D57" t="s">
        <v>19</v>
      </c>
      <c r="E57" t="s">
        <v>36</v>
      </c>
      <c r="F57">
        <v>4685</v>
      </c>
      <c r="G57">
        <v>0</v>
      </c>
      <c r="H57" t="s">
        <v>37</v>
      </c>
      <c r="I57" t="s">
        <v>56</v>
      </c>
      <c r="J57">
        <v>2</v>
      </c>
      <c r="K57">
        <v>1</v>
      </c>
      <c r="L57" t="s">
        <v>27</v>
      </c>
      <c r="M57">
        <v>3</v>
      </c>
      <c r="N57">
        <v>25</v>
      </c>
      <c r="O57">
        <v>0</v>
      </c>
      <c r="P57">
        <v>1</v>
      </c>
      <c r="Q57" t="s">
        <v>27</v>
      </c>
    </row>
    <row r="58" spans="1:17" x14ac:dyDescent="0.3">
      <c r="A58" t="s">
        <v>102</v>
      </c>
      <c r="B58">
        <v>35</v>
      </c>
      <c r="C58" t="s">
        <v>35</v>
      </c>
      <c r="D58" t="s">
        <v>70</v>
      </c>
      <c r="E58" t="s">
        <v>71</v>
      </c>
      <c r="F58">
        <v>8424</v>
      </c>
      <c r="G58">
        <v>2</v>
      </c>
      <c r="H58" t="s">
        <v>37</v>
      </c>
      <c r="I58" t="s">
        <v>22</v>
      </c>
      <c r="J58">
        <v>4</v>
      </c>
      <c r="K58">
        <v>4</v>
      </c>
      <c r="L58" t="s">
        <v>27</v>
      </c>
      <c r="M58">
        <v>3</v>
      </c>
      <c r="N58">
        <v>20</v>
      </c>
      <c r="O58">
        <v>5</v>
      </c>
      <c r="P58">
        <v>3</v>
      </c>
      <c r="Q58" t="s">
        <v>27</v>
      </c>
    </row>
    <row r="59" spans="1:17" x14ac:dyDescent="0.3">
      <c r="A59" t="s">
        <v>103</v>
      </c>
      <c r="B59">
        <v>34</v>
      </c>
      <c r="C59" t="s">
        <v>18</v>
      </c>
      <c r="D59" t="s">
        <v>19</v>
      </c>
      <c r="E59" t="s">
        <v>36</v>
      </c>
      <c r="F59">
        <v>8790</v>
      </c>
      <c r="G59">
        <v>7</v>
      </c>
      <c r="H59" t="s">
        <v>37</v>
      </c>
      <c r="I59" t="s">
        <v>31</v>
      </c>
      <c r="J59">
        <v>3</v>
      </c>
      <c r="K59">
        <v>2</v>
      </c>
      <c r="L59" t="s">
        <v>27</v>
      </c>
      <c r="M59">
        <v>3</v>
      </c>
      <c r="N59">
        <v>15</v>
      </c>
      <c r="O59">
        <v>3</v>
      </c>
      <c r="P59">
        <v>1</v>
      </c>
      <c r="Q59" t="s">
        <v>27</v>
      </c>
    </row>
    <row r="60" spans="1:17" x14ac:dyDescent="0.3">
      <c r="A60" t="s">
        <v>104</v>
      </c>
      <c r="B60">
        <v>44</v>
      </c>
      <c r="C60" t="s">
        <v>35</v>
      </c>
      <c r="D60" t="s">
        <v>29</v>
      </c>
      <c r="E60" t="s">
        <v>49</v>
      </c>
      <c r="F60">
        <v>12798</v>
      </c>
      <c r="G60">
        <v>6</v>
      </c>
      <c r="H60" t="s">
        <v>37</v>
      </c>
      <c r="I60" t="s">
        <v>31</v>
      </c>
      <c r="J60">
        <v>3</v>
      </c>
      <c r="K60">
        <v>1</v>
      </c>
      <c r="L60" t="s">
        <v>27</v>
      </c>
      <c r="M60">
        <v>4</v>
      </c>
      <c r="N60">
        <v>8</v>
      </c>
      <c r="O60">
        <v>5</v>
      </c>
      <c r="P60">
        <v>2</v>
      </c>
      <c r="Q60" t="s">
        <v>27</v>
      </c>
    </row>
    <row r="61" spans="1:17" x14ac:dyDescent="0.3">
      <c r="A61" t="s">
        <v>105</v>
      </c>
      <c r="B61">
        <v>31</v>
      </c>
      <c r="C61" t="s">
        <v>35</v>
      </c>
      <c r="D61" t="s">
        <v>44</v>
      </c>
      <c r="E61" t="s">
        <v>45</v>
      </c>
      <c r="F61">
        <v>8408</v>
      </c>
      <c r="G61">
        <v>6</v>
      </c>
      <c r="H61" t="s">
        <v>37</v>
      </c>
      <c r="I61" t="s">
        <v>31</v>
      </c>
      <c r="J61">
        <v>3</v>
      </c>
      <c r="K61">
        <v>4</v>
      </c>
      <c r="L61" t="s">
        <v>23</v>
      </c>
      <c r="M61">
        <v>4</v>
      </c>
      <c r="N61">
        <v>5</v>
      </c>
      <c r="O61">
        <v>4</v>
      </c>
      <c r="P61">
        <v>4</v>
      </c>
      <c r="Q61" t="s">
        <v>27</v>
      </c>
    </row>
    <row r="62" spans="1:17" x14ac:dyDescent="0.3">
      <c r="A62" t="s">
        <v>106</v>
      </c>
      <c r="B62">
        <v>26</v>
      </c>
      <c r="C62" t="s">
        <v>35</v>
      </c>
      <c r="D62" t="s">
        <v>19</v>
      </c>
      <c r="E62" t="s">
        <v>36</v>
      </c>
      <c r="F62">
        <v>9873</v>
      </c>
      <c r="G62">
        <v>8</v>
      </c>
      <c r="H62" t="s">
        <v>37</v>
      </c>
      <c r="I62" t="s">
        <v>31</v>
      </c>
      <c r="J62">
        <v>2</v>
      </c>
      <c r="K62">
        <v>4</v>
      </c>
      <c r="L62" t="s">
        <v>23</v>
      </c>
      <c r="M62">
        <v>4</v>
      </c>
      <c r="N62">
        <v>22</v>
      </c>
      <c r="O62">
        <v>6</v>
      </c>
      <c r="P62">
        <v>3</v>
      </c>
      <c r="Q62" t="s">
        <v>27</v>
      </c>
    </row>
    <row r="63" spans="1:17" x14ac:dyDescent="0.3">
      <c r="A63" t="s">
        <v>107</v>
      </c>
      <c r="B63">
        <v>26</v>
      </c>
      <c r="C63" t="s">
        <v>35</v>
      </c>
      <c r="D63" t="s">
        <v>25</v>
      </c>
      <c r="E63" t="s">
        <v>61</v>
      </c>
      <c r="F63">
        <v>7842</v>
      </c>
      <c r="G63">
        <v>2</v>
      </c>
      <c r="H63" t="s">
        <v>46</v>
      </c>
      <c r="I63" t="s">
        <v>56</v>
      </c>
      <c r="J63">
        <v>2</v>
      </c>
      <c r="K63">
        <v>3</v>
      </c>
      <c r="L63" t="s">
        <v>27</v>
      </c>
      <c r="M63">
        <v>3</v>
      </c>
      <c r="N63">
        <v>27</v>
      </c>
      <c r="O63">
        <v>1</v>
      </c>
      <c r="P63">
        <v>3</v>
      </c>
      <c r="Q63" t="s">
        <v>27</v>
      </c>
    </row>
    <row r="64" spans="1:17" x14ac:dyDescent="0.3">
      <c r="A64" t="s">
        <v>108</v>
      </c>
      <c r="B64">
        <v>42</v>
      </c>
      <c r="C64" t="s">
        <v>18</v>
      </c>
      <c r="D64" t="s">
        <v>19</v>
      </c>
      <c r="E64" t="s">
        <v>36</v>
      </c>
      <c r="F64">
        <v>5693</v>
      </c>
      <c r="G64">
        <v>1</v>
      </c>
      <c r="H64" t="s">
        <v>21</v>
      </c>
      <c r="I64" t="s">
        <v>31</v>
      </c>
      <c r="J64">
        <v>2</v>
      </c>
      <c r="K64">
        <v>4</v>
      </c>
      <c r="L64" t="s">
        <v>23</v>
      </c>
      <c r="M64">
        <v>3</v>
      </c>
      <c r="N64">
        <v>17</v>
      </c>
      <c r="O64">
        <v>3</v>
      </c>
      <c r="P64">
        <v>1</v>
      </c>
      <c r="Q64" t="s">
        <v>23</v>
      </c>
    </row>
    <row r="65" spans="1:17" x14ac:dyDescent="0.3">
      <c r="A65" t="s">
        <v>109</v>
      </c>
      <c r="B65">
        <v>27</v>
      </c>
      <c r="C65" t="s">
        <v>18</v>
      </c>
      <c r="D65" t="s">
        <v>25</v>
      </c>
      <c r="E65" t="s">
        <v>26</v>
      </c>
      <c r="F65">
        <v>4498</v>
      </c>
      <c r="G65">
        <v>2</v>
      </c>
      <c r="H65" t="s">
        <v>37</v>
      </c>
      <c r="I65" t="s">
        <v>22</v>
      </c>
      <c r="J65">
        <v>4</v>
      </c>
      <c r="K65">
        <v>3</v>
      </c>
      <c r="L65" t="s">
        <v>27</v>
      </c>
      <c r="M65">
        <v>3</v>
      </c>
      <c r="N65">
        <v>17</v>
      </c>
      <c r="O65">
        <v>4</v>
      </c>
      <c r="P65">
        <v>1</v>
      </c>
      <c r="Q65" t="s">
        <v>27</v>
      </c>
    </row>
    <row r="66" spans="1:17" x14ac:dyDescent="0.3">
      <c r="A66" t="s">
        <v>110</v>
      </c>
      <c r="B66">
        <v>21</v>
      </c>
      <c r="C66" t="s">
        <v>18</v>
      </c>
      <c r="D66" t="s">
        <v>74</v>
      </c>
      <c r="E66" t="s">
        <v>75</v>
      </c>
      <c r="F66">
        <v>12882</v>
      </c>
      <c r="G66">
        <v>3</v>
      </c>
      <c r="H66" t="s">
        <v>21</v>
      </c>
      <c r="I66" t="s">
        <v>31</v>
      </c>
      <c r="J66">
        <v>3</v>
      </c>
      <c r="K66">
        <v>3</v>
      </c>
      <c r="L66" t="s">
        <v>23</v>
      </c>
      <c r="M66">
        <v>3</v>
      </c>
      <c r="N66">
        <v>23</v>
      </c>
      <c r="O66">
        <v>6</v>
      </c>
      <c r="P66">
        <v>3</v>
      </c>
      <c r="Q66" t="s">
        <v>27</v>
      </c>
    </row>
    <row r="67" spans="1:17" x14ac:dyDescent="0.3">
      <c r="A67" t="s">
        <v>111</v>
      </c>
      <c r="B67">
        <v>43</v>
      </c>
      <c r="C67" t="s">
        <v>35</v>
      </c>
      <c r="D67" t="s">
        <v>74</v>
      </c>
      <c r="E67" t="s">
        <v>20</v>
      </c>
      <c r="F67">
        <v>7536</v>
      </c>
      <c r="G67">
        <v>1</v>
      </c>
      <c r="H67" t="s">
        <v>37</v>
      </c>
      <c r="I67" t="s">
        <v>31</v>
      </c>
      <c r="J67">
        <v>3</v>
      </c>
      <c r="K67">
        <v>3</v>
      </c>
      <c r="L67" t="s">
        <v>27</v>
      </c>
      <c r="M67">
        <v>3</v>
      </c>
      <c r="N67">
        <v>25</v>
      </c>
      <c r="O67">
        <v>6</v>
      </c>
      <c r="P67">
        <v>1</v>
      </c>
      <c r="Q67" t="s">
        <v>27</v>
      </c>
    </row>
    <row r="68" spans="1:17" x14ac:dyDescent="0.3">
      <c r="A68" t="s">
        <v>112</v>
      </c>
      <c r="B68">
        <v>43</v>
      </c>
      <c r="C68" t="s">
        <v>35</v>
      </c>
      <c r="D68" t="s">
        <v>74</v>
      </c>
      <c r="E68" t="s">
        <v>20</v>
      </c>
      <c r="F68">
        <v>18956</v>
      </c>
      <c r="G68">
        <v>16</v>
      </c>
      <c r="H68" t="s">
        <v>37</v>
      </c>
      <c r="I68" t="s">
        <v>22</v>
      </c>
      <c r="J68">
        <v>4</v>
      </c>
      <c r="K68">
        <v>1</v>
      </c>
      <c r="L68" t="s">
        <v>23</v>
      </c>
      <c r="M68">
        <v>3</v>
      </c>
      <c r="N68">
        <v>23</v>
      </c>
      <c r="O68">
        <v>1</v>
      </c>
      <c r="P68">
        <v>3</v>
      </c>
      <c r="Q68" t="s">
        <v>27</v>
      </c>
    </row>
    <row r="69" spans="1:17" x14ac:dyDescent="0.3">
      <c r="A69" t="s">
        <v>113</v>
      </c>
      <c r="B69">
        <v>41</v>
      </c>
      <c r="C69" t="s">
        <v>35</v>
      </c>
      <c r="D69" t="s">
        <v>25</v>
      </c>
      <c r="E69" t="s">
        <v>61</v>
      </c>
      <c r="F69">
        <v>9767</v>
      </c>
      <c r="G69">
        <v>8</v>
      </c>
      <c r="H69" t="s">
        <v>37</v>
      </c>
      <c r="I69" t="s">
        <v>31</v>
      </c>
      <c r="J69">
        <v>4</v>
      </c>
      <c r="K69">
        <v>3</v>
      </c>
      <c r="L69" t="s">
        <v>23</v>
      </c>
      <c r="M69">
        <v>3</v>
      </c>
      <c r="N69">
        <v>23</v>
      </c>
      <c r="O69">
        <v>6</v>
      </c>
      <c r="P69">
        <v>4</v>
      </c>
      <c r="Q69" t="s">
        <v>27</v>
      </c>
    </row>
    <row r="70" spans="1:17" x14ac:dyDescent="0.3">
      <c r="A70" t="s">
        <v>114</v>
      </c>
      <c r="B70">
        <v>41</v>
      </c>
      <c r="C70" t="s">
        <v>35</v>
      </c>
      <c r="D70" t="s">
        <v>19</v>
      </c>
      <c r="E70" t="s">
        <v>40</v>
      </c>
      <c r="F70">
        <v>10044</v>
      </c>
      <c r="G70">
        <v>8</v>
      </c>
      <c r="H70" t="s">
        <v>37</v>
      </c>
      <c r="I70" t="s">
        <v>31</v>
      </c>
      <c r="J70">
        <v>1</v>
      </c>
      <c r="K70">
        <v>2</v>
      </c>
      <c r="L70" t="s">
        <v>23</v>
      </c>
      <c r="M70">
        <v>3</v>
      </c>
      <c r="N70">
        <v>8</v>
      </c>
      <c r="O70">
        <v>1</v>
      </c>
      <c r="P70">
        <v>1</v>
      </c>
      <c r="Q70" t="s">
        <v>27</v>
      </c>
    </row>
    <row r="71" spans="1:17" x14ac:dyDescent="0.3">
      <c r="A71" t="s">
        <v>115</v>
      </c>
      <c r="B71">
        <v>29</v>
      </c>
      <c r="C71" t="s">
        <v>18</v>
      </c>
      <c r="D71" t="s">
        <v>44</v>
      </c>
      <c r="E71" t="s">
        <v>45</v>
      </c>
      <c r="F71">
        <v>5099</v>
      </c>
      <c r="G71">
        <v>0</v>
      </c>
      <c r="H71" t="s">
        <v>21</v>
      </c>
      <c r="I71" t="s">
        <v>22</v>
      </c>
      <c r="J71">
        <v>2</v>
      </c>
      <c r="K71">
        <v>4</v>
      </c>
      <c r="L71" t="s">
        <v>23</v>
      </c>
      <c r="M71">
        <v>3</v>
      </c>
      <c r="N71">
        <v>6</v>
      </c>
      <c r="O71">
        <v>1</v>
      </c>
      <c r="P71">
        <v>1</v>
      </c>
      <c r="Q71" t="s">
        <v>27</v>
      </c>
    </row>
    <row r="72" spans="1:17" x14ac:dyDescent="0.3">
      <c r="A72" t="s">
        <v>116</v>
      </c>
      <c r="B72">
        <v>46</v>
      </c>
      <c r="C72" t="s">
        <v>18</v>
      </c>
      <c r="D72" t="s">
        <v>25</v>
      </c>
      <c r="E72" t="s">
        <v>26</v>
      </c>
      <c r="F72">
        <v>11576</v>
      </c>
      <c r="G72">
        <v>5</v>
      </c>
      <c r="H72" t="s">
        <v>37</v>
      </c>
      <c r="I72" t="s">
        <v>31</v>
      </c>
      <c r="J72">
        <v>3</v>
      </c>
      <c r="K72">
        <v>2</v>
      </c>
      <c r="L72" t="s">
        <v>27</v>
      </c>
      <c r="M72">
        <v>3</v>
      </c>
      <c r="N72">
        <v>28</v>
      </c>
      <c r="O72">
        <v>5</v>
      </c>
      <c r="P72">
        <v>2</v>
      </c>
      <c r="Q72" t="s">
        <v>27</v>
      </c>
    </row>
    <row r="73" spans="1:17" x14ac:dyDescent="0.3">
      <c r="A73" t="s">
        <v>117</v>
      </c>
      <c r="B73">
        <v>29</v>
      </c>
      <c r="C73" t="s">
        <v>18</v>
      </c>
      <c r="D73" t="s">
        <v>25</v>
      </c>
      <c r="E73" t="s">
        <v>61</v>
      </c>
      <c r="F73">
        <v>4418</v>
      </c>
      <c r="G73">
        <v>1</v>
      </c>
      <c r="H73" t="s">
        <v>33</v>
      </c>
      <c r="I73" t="s">
        <v>31</v>
      </c>
      <c r="J73">
        <v>4</v>
      </c>
      <c r="K73">
        <v>4</v>
      </c>
      <c r="L73" t="s">
        <v>27</v>
      </c>
      <c r="M73">
        <v>3</v>
      </c>
      <c r="N73">
        <v>3</v>
      </c>
      <c r="O73">
        <v>5</v>
      </c>
      <c r="P73">
        <v>2</v>
      </c>
      <c r="Q73" t="s">
        <v>27</v>
      </c>
    </row>
    <row r="74" spans="1:17" x14ac:dyDescent="0.3">
      <c r="A74" t="s">
        <v>118</v>
      </c>
      <c r="B74">
        <v>38</v>
      </c>
      <c r="C74" t="s">
        <v>18</v>
      </c>
      <c r="D74" t="s">
        <v>25</v>
      </c>
      <c r="E74" t="s">
        <v>26</v>
      </c>
      <c r="F74">
        <v>3765</v>
      </c>
      <c r="G74">
        <v>0</v>
      </c>
      <c r="H74" t="s">
        <v>21</v>
      </c>
      <c r="I74" t="s">
        <v>31</v>
      </c>
      <c r="J74">
        <v>2</v>
      </c>
      <c r="K74">
        <v>3</v>
      </c>
      <c r="L74" t="s">
        <v>27</v>
      </c>
      <c r="M74">
        <v>3</v>
      </c>
      <c r="N74">
        <v>26</v>
      </c>
      <c r="O74">
        <v>1</v>
      </c>
      <c r="P74">
        <v>1</v>
      </c>
      <c r="Q74" t="s">
        <v>27</v>
      </c>
    </row>
    <row r="75" spans="1:17" x14ac:dyDescent="0.3">
      <c r="A75" t="s">
        <v>119</v>
      </c>
      <c r="B75">
        <v>39</v>
      </c>
      <c r="C75" t="s">
        <v>35</v>
      </c>
      <c r="D75" t="s">
        <v>70</v>
      </c>
      <c r="E75" t="s">
        <v>71</v>
      </c>
      <c r="F75">
        <v>9087</v>
      </c>
      <c r="G75">
        <v>8</v>
      </c>
      <c r="H75" t="s">
        <v>37</v>
      </c>
      <c r="I75" t="s">
        <v>56</v>
      </c>
      <c r="J75">
        <v>4</v>
      </c>
      <c r="K75">
        <v>3</v>
      </c>
      <c r="L75" t="s">
        <v>23</v>
      </c>
      <c r="M75">
        <v>3</v>
      </c>
      <c r="N75">
        <v>19</v>
      </c>
      <c r="O75">
        <v>4</v>
      </c>
      <c r="P75">
        <v>4</v>
      </c>
      <c r="Q75" t="s">
        <v>27</v>
      </c>
    </row>
    <row r="76" spans="1:17" x14ac:dyDescent="0.3">
      <c r="A76" t="s">
        <v>120</v>
      </c>
      <c r="B76">
        <v>42</v>
      </c>
      <c r="C76" t="s">
        <v>35</v>
      </c>
      <c r="D76" t="s">
        <v>19</v>
      </c>
      <c r="E76" t="s">
        <v>40</v>
      </c>
      <c r="F76">
        <v>9415</v>
      </c>
      <c r="G76">
        <v>6</v>
      </c>
      <c r="H76" t="s">
        <v>21</v>
      </c>
      <c r="I76" t="s">
        <v>22</v>
      </c>
      <c r="J76">
        <v>1</v>
      </c>
      <c r="K76">
        <v>1</v>
      </c>
      <c r="L76" t="s">
        <v>27</v>
      </c>
      <c r="M76">
        <v>3</v>
      </c>
      <c r="N76">
        <v>6</v>
      </c>
      <c r="O76">
        <v>0</v>
      </c>
      <c r="P76">
        <v>2</v>
      </c>
      <c r="Q76" t="s">
        <v>27</v>
      </c>
    </row>
    <row r="77" spans="1:17" x14ac:dyDescent="0.3">
      <c r="A77" t="s">
        <v>121</v>
      </c>
      <c r="B77">
        <v>23</v>
      </c>
      <c r="C77" t="s">
        <v>18</v>
      </c>
      <c r="D77" t="s">
        <v>70</v>
      </c>
      <c r="E77" t="s">
        <v>71</v>
      </c>
      <c r="F77">
        <v>11640</v>
      </c>
      <c r="G77">
        <v>1</v>
      </c>
      <c r="H77" t="s">
        <v>21</v>
      </c>
      <c r="I77" t="s">
        <v>22</v>
      </c>
      <c r="J77">
        <v>3</v>
      </c>
      <c r="K77">
        <v>1</v>
      </c>
      <c r="L77" t="s">
        <v>27</v>
      </c>
      <c r="M77">
        <v>2</v>
      </c>
      <c r="N77">
        <v>8</v>
      </c>
      <c r="O77">
        <v>1</v>
      </c>
      <c r="P77">
        <v>3</v>
      </c>
      <c r="Q77" t="s">
        <v>27</v>
      </c>
    </row>
    <row r="78" spans="1:17" x14ac:dyDescent="0.3">
      <c r="A78" t="s">
        <v>122</v>
      </c>
      <c r="B78">
        <v>44</v>
      </c>
      <c r="C78" t="s">
        <v>35</v>
      </c>
      <c r="D78" t="s">
        <v>19</v>
      </c>
      <c r="E78" t="s">
        <v>40</v>
      </c>
      <c r="F78">
        <v>9735</v>
      </c>
      <c r="G78">
        <v>2</v>
      </c>
      <c r="H78" t="s">
        <v>37</v>
      </c>
      <c r="I78" t="s">
        <v>31</v>
      </c>
      <c r="J78">
        <v>4</v>
      </c>
      <c r="K78">
        <v>4</v>
      </c>
      <c r="L78" t="s">
        <v>27</v>
      </c>
      <c r="M78">
        <v>4</v>
      </c>
      <c r="N78">
        <v>11</v>
      </c>
      <c r="O78">
        <v>1</v>
      </c>
      <c r="P78">
        <v>3</v>
      </c>
      <c r="Q78" t="s">
        <v>27</v>
      </c>
    </row>
    <row r="79" spans="1:17" x14ac:dyDescent="0.3">
      <c r="A79" t="s">
        <v>123</v>
      </c>
      <c r="B79">
        <v>40</v>
      </c>
      <c r="C79" t="s">
        <v>18</v>
      </c>
      <c r="D79" t="s">
        <v>74</v>
      </c>
      <c r="E79" t="s">
        <v>75</v>
      </c>
      <c r="F79">
        <v>8809</v>
      </c>
      <c r="G79">
        <v>4</v>
      </c>
      <c r="H79" t="s">
        <v>33</v>
      </c>
      <c r="I79" t="s">
        <v>31</v>
      </c>
      <c r="J79">
        <v>2</v>
      </c>
      <c r="K79">
        <v>2</v>
      </c>
      <c r="L79" t="s">
        <v>23</v>
      </c>
      <c r="M79">
        <v>4</v>
      </c>
      <c r="N79">
        <v>30</v>
      </c>
      <c r="O79">
        <v>2</v>
      </c>
      <c r="P79">
        <v>3</v>
      </c>
      <c r="Q79" t="s">
        <v>27</v>
      </c>
    </row>
    <row r="80" spans="1:17" x14ac:dyDescent="0.3">
      <c r="A80" t="s">
        <v>124</v>
      </c>
      <c r="B80">
        <v>29</v>
      </c>
      <c r="C80" t="s">
        <v>18</v>
      </c>
      <c r="D80" t="s">
        <v>44</v>
      </c>
      <c r="E80" t="s">
        <v>45</v>
      </c>
      <c r="F80">
        <v>10386</v>
      </c>
      <c r="G80">
        <v>3</v>
      </c>
      <c r="H80" t="s">
        <v>21</v>
      </c>
      <c r="I80" t="s">
        <v>22</v>
      </c>
      <c r="J80">
        <v>1</v>
      </c>
      <c r="K80">
        <v>4</v>
      </c>
      <c r="L80" t="s">
        <v>27</v>
      </c>
      <c r="M80">
        <v>4</v>
      </c>
      <c r="N80">
        <v>10</v>
      </c>
      <c r="O80">
        <v>5</v>
      </c>
      <c r="P80">
        <v>1</v>
      </c>
      <c r="Q80" t="s">
        <v>27</v>
      </c>
    </row>
    <row r="81" spans="1:17" x14ac:dyDescent="0.3">
      <c r="A81" t="s">
        <v>125</v>
      </c>
      <c r="B81">
        <v>25</v>
      </c>
      <c r="C81" t="s">
        <v>18</v>
      </c>
      <c r="D81" t="s">
        <v>25</v>
      </c>
      <c r="E81" t="s">
        <v>26</v>
      </c>
      <c r="F81">
        <v>5058</v>
      </c>
      <c r="G81">
        <v>1</v>
      </c>
      <c r="H81" t="s">
        <v>37</v>
      </c>
      <c r="I81" t="s">
        <v>56</v>
      </c>
      <c r="J81">
        <v>1</v>
      </c>
      <c r="K81">
        <v>4</v>
      </c>
      <c r="L81" t="s">
        <v>23</v>
      </c>
      <c r="M81">
        <v>4</v>
      </c>
      <c r="N81">
        <v>9</v>
      </c>
      <c r="O81">
        <v>6</v>
      </c>
      <c r="P81">
        <v>1</v>
      </c>
      <c r="Q81" t="s">
        <v>27</v>
      </c>
    </row>
    <row r="82" spans="1:17" x14ac:dyDescent="0.3">
      <c r="A82" t="s">
        <v>126</v>
      </c>
      <c r="B82">
        <v>41</v>
      </c>
      <c r="C82" t="s">
        <v>35</v>
      </c>
      <c r="D82" t="s">
        <v>74</v>
      </c>
      <c r="E82" t="s">
        <v>75</v>
      </c>
      <c r="F82">
        <v>12414</v>
      </c>
      <c r="G82">
        <v>14</v>
      </c>
      <c r="H82" t="s">
        <v>21</v>
      </c>
      <c r="I82" t="s">
        <v>31</v>
      </c>
      <c r="J82">
        <v>3</v>
      </c>
      <c r="K82">
        <v>2</v>
      </c>
      <c r="L82" t="s">
        <v>27</v>
      </c>
      <c r="M82">
        <v>2</v>
      </c>
      <c r="N82">
        <v>20</v>
      </c>
      <c r="O82">
        <v>3</v>
      </c>
      <c r="P82">
        <v>3</v>
      </c>
      <c r="Q82" t="s">
        <v>27</v>
      </c>
    </row>
    <row r="83" spans="1:17" x14ac:dyDescent="0.3">
      <c r="A83" t="s">
        <v>127</v>
      </c>
      <c r="B83">
        <v>29</v>
      </c>
      <c r="C83" t="s">
        <v>18</v>
      </c>
      <c r="D83" t="s">
        <v>29</v>
      </c>
      <c r="E83" t="s">
        <v>49</v>
      </c>
      <c r="F83">
        <v>5871</v>
      </c>
      <c r="G83">
        <v>1</v>
      </c>
      <c r="H83" t="s">
        <v>33</v>
      </c>
      <c r="I83" t="s">
        <v>22</v>
      </c>
      <c r="J83">
        <v>3</v>
      </c>
      <c r="K83">
        <v>4</v>
      </c>
      <c r="L83" t="s">
        <v>27</v>
      </c>
      <c r="M83">
        <v>1</v>
      </c>
      <c r="N83">
        <v>15</v>
      </c>
      <c r="O83">
        <v>6</v>
      </c>
      <c r="P83">
        <v>1</v>
      </c>
      <c r="Q83" t="s">
        <v>27</v>
      </c>
    </row>
    <row r="84" spans="1:17" x14ac:dyDescent="0.3">
      <c r="A84" t="s">
        <v>128</v>
      </c>
      <c r="B84">
        <v>27</v>
      </c>
      <c r="C84" t="s">
        <v>35</v>
      </c>
      <c r="D84" t="s">
        <v>19</v>
      </c>
      <c r="E84" t="s">
        <v>36</v>
      </c>
      <c r="F84">
        <v>10948</v>
      </c>
      <c r="G84">
        <v>8</v>
      </c>
      <c r="H84" t="s">
        <v>21</v>
      </c>
      <c r="I84" t="s">
        <v>22</v>
      </c>
      <c r="J84">
        <v>2</v>
      </c>
      <c r="K84">
        <v>1</v>
      </c>
      <c r="L84" t="s">
        <v>23</v>
      </c>
      <c r="M84">
        <v>3</v>
      </c>
      <c r="N84">
        <v>9</v>
      </c>
      <c r="O84">
        <v>3</v>
      </c>
      <c r="P84">
        <v>2</v>
      </c>
      <c r="Q84" t="s">
        <v>27</v>
      </c>
    </row>
    <row r="85" spans="1:17" x14ac:dyDescent="0.3">
      <c r="A85" t="s">
        <v>129</v>
      </c>
      <c r="B85">
        <v>38</v>
      </c>
      <c r="C85" t="s">
        <v>18</v>
      </c>
      <c r="D85" t="s">
        <v>25</v>
      </c>
      <c r="E85" t="s">
        <v>20</v>
      </c>
      <c r="F85">
        <v>14750</v>
      </c>
      <c r="G85">
        <v>4</v>
      </c>
      <c r="H85" t="s">
        <v>46</v>
      </c>
      <c r="I85" t="s">
        <v>22</v>
      </c>
      <c r="J85">
        <v>3</v>
      </c>
      <c r="K85">
        <v>2</v>
      </c>
      <c r="L85" t="s">
        <v>27</v>
      </c>
      <c r="M85">
        <v>3</v>
      </c>
      <c r="N85">
        <v>8</v>
      </c>
      <c r="O85">
        <v>2</v>
      </c>
      <c r="P85">
        <v>1</v>
      </c>
      <c r="Q85" t="s">
        <v>23</v>
      </c>
    </row>
    <row r="86" spans="1:17" x14ac:dyDescent="0.3">
      <c r="A86" t="s">
        <v>130</v>
      </c>
      <c r="B86">
        <v>33</v>
      </c>
      <c r="C86" t="s">
        <v>18</v>
      </c>
      <c r="D86" t="s">
        <v>70</v>
      </c>
      <c r="E86" t="s">
        <v>71</v>
      </c>
      <c r="F86">
        <v>9989</v>
      </c>
      <c r="G86">
        <v>3</v>
      </c>
      <c r="H86" t="s">
        <v>37</v>
      </c>
      <c r="I86" t="s">
        <v>56</v>
      </c>
      <c r="J86">
        <v>1</v>
      </c>
      <c r="K86">
        <v>3</v>
      </c>
      <c r="L86" t="s">
        <v>27</v>
      </c>
      <c r="M86">
        <v>3</v>
      </c>
      <c r="N86">
        <v>2</v>
      </c>
      <c r="O86">
        <v>2</v>
      </c>
      <c r="P86">
        <v>1</v>
      </c>
      <c r="Q86" t="s">
        <v>27</v>
      </c>
    </row>
    <row r="87" spans="1:17" x14ac:dyDescent="0.3">
      <c r="A87" t="s">
        <v>131</v>
      </c>
      <c r="B87">
        <v>30</v>
      </c>
      <c r="C87" t="s">
        <v>18</v>
      </c>
      <c r="D87" t="s">
        <v>19</v>
      </c>
      <c r="E87" t="s">
        <v>40</v>
      </c>
      <c r="F87">
        <v>5239</v>
      </c>
      <c r="G87">
        <v>1</v>
      </c>
      <c r="H87" t="s">
        <v>37</v>
      </c>
      <c r="I87" t="s">
        <v>56</v>
      </c>
      <c r="J87">
        <v>1</v>
      </c>
      <c r="K87">
        <v>2</v>
      </c>
      <c r="L87" t="s">
        <v>23</v>
      </c>
      <c r="M87">
        <v>3</v>
      </c>
      <c r="N87">
        <v>28</v>
      </c>
      <c r="O87">
        <v>6</v>
      </c>
      <c r="P87">
        <v>1</v>
      </c>
      <c r="Q87" t="s">
        <v>27</v>
      </c>
    </row>
    <row r="88" spans="1:17" x14ac:dyDescent="0.3">
      <c r="A88" t="s">
        <v>132</v>
      </c>
      <c r="B88">
        <v>35</v>
      </c>
      <c r="C88" t="s">
        <v>35</v>
      </c>
      <c r="D88" t="s">
        <v>25</v>
      </c>
      <c r="E88" t="s">
        <v>61</v>
      </c>
      <c r="F88">
        <v>6225</v>
      </c>
      <c r="G88">
        <v>0</v>
      </c>
      <c r="H88" t="s">
        <v>21</v>
      </c>
      <c r="I88" t="s">
        <v>22</v>
      </c>
      <c r="J88">
        <v>2</v>
      </c>
      <c r="K88">
        <v>2</v>
      </c>
      <c r="L88" t="s">
        <v>27</v>
      </c>
      <c r="M88">
        <v>3</v>
      </c>
      <c r="N88">
        <v>2</v>
      </c>
      <c r="O88">
        <v>4</v>
      </c>
      <c r="P88">
        <v>2</v>
      </c>
      <c r="Q88" t="s">
        <v>27</v>
      </c>
    </row>
    <row r="89" spans="1:17" x14ac:dyDescent="0.3">
      <c r="A89" t="s">
        <v>133</v>
      </c>
      <c r="B89">
        <v>31</v>
      </c>
      <c r="C89" t="s">
        <v>18</v>
      </c>
      <c r="D89" t="s">
        <v>70</v>
      </c>
      <c r="E89" t="s">
        <v>71</v>
      </c>
      <c r="F89">
        <v>10044</v>
      </c>
      <c r="G89">
        <v>7</v>
      </c>
      <c r="H89" t="s">
        <v>33</v>
      </c>
      <c r="I89" t="s">
        <v>31</v>
      </c>
      <c r="J89">
        <v>2</v>
      </c>
      <c r="K89">
        <v>1</v>
      </c>
      <c r="L89" t="s">
        <v>27</v>
      </c>
      <c r="M89">
        <v>3</v>
      </c>
      <c r="N89">
        <v>28</v>
      </c>
      <c r="O89">
        <v>6</v>
      </c>
      <c r="P89">
        <v>2</v>
      </c>
      <c r="Q89" t="s">
        <v>27</v>
      </c>
    </row>
    <row r="90" spans="1:17" x14ac:dyDescent="0.3">
      <c r="A90" t="s">
        <v>134</v>
      </c>
      <c r="B90">
        <v>31</v>
      </c>
      <c r="C90" t="s">
        <v>18</v>
      </c>
      <c r="D90" t="s">
        <v>25</v>
      </c>
      <c r="E90" t="s">
        <v>26</v>
      </c>
      <c r="F90">
        <v>8614</v>
      </c>
      <c r="G90">
        <v>4</v>
      </c>
      <c r="H90" t="s">
        <v>21</v>
      </c>
      <c r="I90" t="s">
        <v>22</v>
      </c>
      <c r="J90">
        <v>1</v>
      </c>
      <c r="K90">
        <v>2</v>
      </c>
      <c r="L90" t="s">
        <v>27</v>
      </c>
      <c r="M90">
        <v>1</v>
      </c>
      <c r="N90">
        <v>18</v>
      </c>
      <c r="O90">
        <v>5</v>
      </c>
      <c r="P90">
        <v>4</v>
      </c>
      <c r="Q90" t="s">
        <v>27</v>
      </c>
    </row>
    <row r="91" spans="1:17" x14ac:dyDescent="0.3">
      <c r="A91" t="s">
        <v>135</v>
      </c>
      <c r="B91">
        <v>46</v>
      </c>
      <c r="C91" t="s">
        <v>35</v>
      </c>
      <c r="D91" t="s">
        <v>74</v>
      </c>
      <c r="E91" t="s">
        <v>75</v>
      </c>
      <c r="F91">
        <v>8631</v>
      </c>
      <c r="G91">
        <v>5</v>
      </c>
      <c r="H91" t="s">
        <v>21</v>
      </c>
      <c r="I91" t="s">
        <v>31</v>
      </c>
      <c r="J91">
        <v>2</v>
      </c>
      <c r="K91">
        <v>2</v>
      </c>
      <c r="L91" t="s">
        <v>23</v>
      </c>
      <c r="M91">
        <v>4</v>
      </c>
      <c r="N91">
        <v>17</v>
      </c>
      <c r="O91">
        <v>2</v>
      </c>
      <c r="P91">
        <v>1</v>
      </c>
      <c r="Q91" t="s">
        <v>27</v>
      </c>
    </row>
    <row r="92" spans="1:17" x14ac:dyDescent="0.3">
      <c r="A92" t="s">
        <v>136</v>
      </c>
      <c r="B92">
        <v>42</v>
      </c>
      <c r="C92" t="s">
        <v>18</v>
      </c>
      <c r="D92" t="s">
        <v>25</v>
      </c>
      <c r="E92" t="s">
        <v>26</v>
      </c>
      <c r="F92">
        <v>9308</v>
      </c>
      <c r="G92">
        <v>1</v>
      </c>
      <c r="H92" t="s">
        <v>37</v>
      </c>
      <c r="I92" t="s">
        <v>22</v>
      </c>
      <c r="J92">
        <v>1</v>
      </c>
      <c r="K92">
        <v>2</v>
      </c>
      <c r="L92" t="s">
        <v>23</v>
      </c>
      <c r="M92">
        <v>3</v>
      </c>
      <c r="N92">
        <v>21</v>
      </c>
      <c r="O92">
        <v>6</v>
      </c>
      <c r="P92">
        <v>4</v>
      </c>
      <c r="Q92" t="s">
        <v>27</v>
      </c>
    </row>
    <row r="93" spans="1:17" x14ac:dyDescent="0.3">
      <c r="A93" t="s">
        <v>137</v>
      </c>
      <c r="B93">
        <v>32</v>
      </c>
      <c r="C93" t="s">
        <v>18</v>
      </c>
      <c r="D93" t="s">
        <v>44</v>
      </c>
      <c r="E93" t="s">
        <v>45</v>
      </c>
      <c r="F93">
        <v>7583</v>
      </c>
      <c r="G93">
        <v>1</v>
      </c>
      <c r="H93" t="s">
        <v>37</v>
      </c>
      <c r="I93" t="s">
        <v>56</v>
      </c>
      <c r="J93">
        <v>4</v>
      </c>
      <c r="K93">
        <v>1</v>
      </c>
      <c r="L93" t="s">
        <v>27</v>
      </c>
      <c r="M93">
        <v>3</v>
      </c>
      <c r="N93">
        <v>15</v>
      </c>
      <c r="O93">
        <v>3</v>
      </c>
      <c r="P93">
        <v>4</v>
      </c>
      <c r="Q93" t="s">
        <v>27</v>
      </c>
    </row>
    <row r="94" spans="1:17" x14ac:dyDescent="0.3">
      <c r="A94" t="s">
        <v>138</v>
      </c>
      <c r="B94">
        <v>37</v>
      </c>
      <c r="C94" t="s">
        <v>18</v>
      </c>
      <c r="D94" t="s">
        <v>74</v>
      </c>
      <c r="E94" t="s">
        <v>99</v>
      </c>
      <c r="F94">
        <v>9393</v>
      </c>
      <c r="G94">
        <v>4</v>
      </c>
      <c r="H94" t="s">
        <v>46</v>
      </c>
      <c r="I94" t="s">
        <v>22</v>
      </c>
      <c r="J94">
        <v>4</v>
      </c>
      <c r="K94">
        <v>4</v>
      </c>
      <c r="L94" t="s">
        <v>23</v>
      </c>
      <c r="M94">
        <v>4</v>
      </c>
      <c r="N94">
        <v>3</v>
      </c>
      <c r="O94">
        <v>3</v>
      </c>
      <c r="P94">
        <v>2</v>
      </c>
      <c r="Q94" t="s">
        <v>27</v>
      </c>
    </row>
    <row r="95" spans="1:17" x14ac:dyDescent="0.3">
      <c r="A95" t="s">
        <v>139</v>
      </c>
      <c r="B95">
        <v>33</v>
      </c>
      <c r="C95" t="s">
        <v>18</v>
      </c>
      <c r="D95" t="s">
        <v>70</v>
      </c>
      <c r="E95" t="s">
        <v>71</v>
      </c>
      <c r="F95">
        <v>3924</v>
      </c>
      <c r="G95">
        <v>0</v>
      </c>
      <c r="H95" t="s">
        <v>21</v>
      </c>
      <c r="I95" t="s">
        <v>31</v>
      </c>
      <c r="J95">
        <v>2</v>
      </c>
      <c r="K95">
        <v>1</v>
      </c>
      <c r="L95" t="s">
        <v>23</v>
      </c>
      <c r="M95">
        <v>3</v>
      </c>
      <c r="N95">
        <v>11</v>
      </c>
      <c r="O95">
        <v>4</v>
      </c>
      <c r="P95">
        <v>1</v>
      </c>
      <c r="Q95" t="s">
        <v>23</v>
      </c>
    </row>
    <row r="96" spans="1:17" x14ac:dyDescent="0.3">
      <c r="A96" t="s">
        <v>140</v>
      </c>
      <c r="B96">
        <v>43</v>
      </c>
      <c r="C96" t="s">
        <v>18</v>
      </c>
      <c r="D96" t="s">
        <v>44</v>
      </c>
      <c r="E96" t="s">
        <v>54</v>
      </c>
      <c r="F96">
        <v>14585</v>
      </c>
      <c r="G96">
        <v>15</v>
      </c>
      <c r="H96" t="s">
        <v>46</v>
      </c>
      <c r="I96" t="s">
        <v>31</v>
      </c>
      <c r="J96">
        <v>1</v>
      </c>
      <c r="K96">
        <v>4</v>
      </c>
      <c r="L96" t="s">
        <v>27</v>
      </c>
      <c r="M96">
        <v>3</v>
      </c>
      <c r="N96">
        <v>9</v>
      </c>
      <c r="O96">
        <v>0</v>
      </c>
      <c r="P96">
        <v>4</v>
      </c>
      <c r="Q96" t="s">
        <v>27</v>
      </c>
    </row>
    <row r="97" spans="1:17" x14ac:dyDescent="0.3">
      <c r="A97" t="s">
        <v>141</v>
      </c>
      <c r="B97">
        <v>34</v>
      </c>
      <c r="C97" t="s">
        <v>18</v>
      </c>
      <c r="D97" t="s">
        <v>25</v>
      </c>
      <c r="E97" t="s">
        <v>26</v>
      </c>
      <c r="F97">
        <v>9595</v>
      </c>
      <c r="G97">
        <v>10</v>
      </c>
      <c r="H97" t="s">
        <v>21</v>
      </c>
      <c r="I97" t="s">
        <v>31</v>
      </c>
      <c r="J97">
        <v>2</v>
      </c>
      <c r="K97">
        <v>1</v>
      </c>
      <c r="L97" t="s">
        <v>27</v>
      </c>
      <c r="M97">
        <v>3</v>
      </c>
      <c r="N97">
        <v>7</v>
      </c>
      <c r="O97">
        <v>1</v>
      </c>
      <c r="P97">
        <v>2</v>
      </c>
      <c r="Q97" t="s">
        <v>27</v>
      </c>
    </row>
    <row r="98" spans="1:17" x14ac:dyDescent="0.3">
      <c r="A98" t="s">
        <v>142</v>
      </c>
      <c r="B98">
        <v>35</v>
      </c>
      <c r="C98" t="s">
        <v>18</v>
      </c>
      <c r="D98" t="s">
        <v>25</v>
      </c>
      <c r="E98" t="s">
        <v>61</v>
      </c>
      <c r="F98">
        <v>9884</v>
      </c>
      <c r="G98">
        <v>4</v>
      </c>
      <c r="H98" t="s">
        <v>21</v>
      </c>
      <c r="I98" t="s">
        <v>31</v>
      </c>
      <c r="J98">
        <v>3</v>
      </c>
      <c r="K98">
        <v>4</v>
      </c>
      <c r="L98" t="s">
        <v>27</v>
      </c>
      <c r="M98">
        <v>4</v>
      </c>
      <c r="N98">
        <v>8</v>
      </c>
      <c r="O98">
        <v>1</v>
      </c>
      <c r="P98">
        <v>4</v>
      </c>
      <c r="Q98" t="s">
        <v>27</v>
      </c>
    </row>
    <row r="99" spans="1:17" x14ac:dyDescent="0.3">
      <c r="A99" t="s">
        <v>143</v>
      </c>
      <c r="B99">
        <v>44</v>
      </c>
      <c r="C99" t="s">
        <v>35</v>
      </c>
      <c r="D99" t="s">
        <v>70</v>
      </c>
      <c r="E99" t="s">
        <v>144</v>
      </c>
      <c r="F99">
        <v>8685</v>
      </c>
      <c r="G99">
        <v>3</v>
      </c>
      <c r="H99" t="s">
        <v>37</v>
      </c>
      <c r="I99" t="s">
        <v>31</v>
      </c>
      <c r="J99">
        <v>3</v>
      </c>
      <c r="K99">
        <v>1</v>
      </c>
      <c r="L99" t="s">
        <v>23</v>
      </c>
      <c r="M99">
        <v>3</v>
      </c>
      <c r="N99">
        <v>18</v>
      </c>
      <c r="O99">
        <v>5</v>
      </c>
      <c r="P99">
        <v>4</v>
      </c>
      <c r="Q99" t="s">
        <v>27</v>
      </c>
    </row>
    <row r="100" spans="1:17" x14ac:dyDescent="0.3">
      <c r="A100" t="s">
        <v>145</v>
      </c>
      <c r="B100">
        <v>38</v>
      </c>
      <c r="C100" t="s">
        <v>35</v>
      </c>
      <c r="D100" t="s">
        <v>19</v>
      </c>
      <c r="E100" t="s">
        <v>40</v>
      </c>
      <c r="F100">
        <v>8075</v>
      </c>
      <c r="G100">
        <v>2</v>
      </c>
      <c r="H100" t="s">
        <v>37</v>
      </c>
      <c r="I100" t="s">
        <v>22</v>
      </c>
      <c r="J100">
        <v>4</v>
      </c>
      <c r="K100">
        <v>3</v>
      </c>
      <c r="L100" t="s">
        <v>23</v>
      </c>
      <c r="M100">
        <v>1</v>
      </c>
      <c r="N100">
        <v>19</v>
      </c>
      <c r="O100">
        <v>5</v>
      </c>
      <c r="P100">
        <v>1</v>
      </c>
      <c r="Q100" t="s">
        <v>27</v>
      </c>
    </row>
    <row r="101" spans="1:17" x14ac:dyDescent="0.3">
      <c r="A101" t="s">
        <v>146</v>
      </c>
      <c r="B101">
        <v>23</v>
      </c>
      <c r="C101" t="s">
        <v>18</v>
      </c>
      <c r="D101" t="s">
        <v>19</v>
      </c>
      <c r="E101" t="s">
        <v>40</v>
      </c>
      <c r="F101">
        <v>8083</v>
      </c>
      <c r="G101">
        <v>5</v>
      </c>
      <c r="H101" t="s">
        <v>21</v>
      </c>
      <c r="I101" t="s">
        <v>31</v>
      </c>
      <c r="J101">
        <v>1</v>
      </c>
      <c r="K101">
        <v>2</v>
      </c>
      <c r="L101" t="s">
        <v>27</v>
      </c>
      <c r="M101">
        <v>3</v>
      </c>
      <c r="N101">
        <v>24</v>
      </c>
      <c r="O101">
        <v>3</v>
      </c>
      <c r="P101">
        <v>1</v>
      </c>
      <c r="Q101" t="s">
        <v>27</v>
      </c>
    </row>
    <row r="102" spans="1:17" x14ac:dyDescent="0.3">
      <c r="A102" t="s">
        <v>147</v>
      </c>
      <c r="B102">
        <v>30</v>
      </c>
      <c r="C102" t="s">
        <v>18</v>
      </c>
      <c r="D102" t="s">
        <v>29</v>
      </c>
      <c r="E102" t="s">
        <v>49</v>
      </c>
      <c r="F102">
        <v>7537</v>
      </c>
      <c r="G102">
        <v>2</v>
      </c>
      <c r="H102" t="s">
        <v>37</v>
      </c>
      <c r="I102" t="s">
        <v>31</v>
      </c>
      <c r="J102">
        <v>4</v>
      </c>
      <c r="K102">
        <v>2</v>
      </c>
      <c r="L102" t="s">
        <v>27</v>
      </c>
      <c r="M102">
        <v>3</v>
      </c>
      <c r="N102">
        <v>7</v>
      </c>
      <c r="O102">
        <v>1</v>
      </c>
      <c r="P102">
        <v>3</v>
      </c>
      <c r="Q102" t="s">
        <v>27</v>
      </c>
    </row>
    <row r="103" spans="1:17" x14ac:dyDescent="0.3">
      <c r="A103" t="s">
        <v>148</v>
      </c>
      <c r="B103">
        <v>39</v>
      </c>
      <c r="C103" t="s">
        <v>35</v>
      </c>
      <c r="D103" t="s">
        <v>19</v>
      </c>
      <c r="E103" t="s">
        <v>36</v>
      </c>
      <c r="F103">
        <v>6108</v>
      </c>
      <c r="G103">
        <v>2</v>
      </c>
      <c r="H103" t="s">
        <v>37</v>
      </c>
      <c r="I103" t="s">
        <v>22</v>
      </c>
      <c r="J103">
        <v>2</v>
      </c>
      <c r="K103">
        <v>3</v>
      </c>
      <c r="L103" t="s">
        <v>27</v>
      </c>
      <c r="M103">
        <v>3</v>
      </c>
      <c r="N103">
        <v>2</v>
      </c>
      <c r="O103">
        <v>6</v>
      </c>
      <c r="P103">
        <v>1</v>
      </c>
      <c r="Q103" t="s">
        <v>27</v>
      </c>
    </row>
    <row r="104" spans="1:17" x14ac:dyDescent="0.3">
      <c r="A104" t="s">
        <v>149</v>
      </c>
      <c r="B104">
        <v>48</v>
      </c>
      <c r="C104" t="s">
        <v>18</v>
      </c>
      <c r="D104" t="s">
        <v>19</v>
      </c>
      <c r="E104" t="s">
        <v>36</v>
      </c>
      <c r="F104">
        <v>8092</v>
      </c>
      <c r="G104">
        <v>0</v>
      </c>
      <c r="H104" t="s">
        <v>37</v>
      </c>
      <c r="I104" t="s">
        <v>31</v>
      </c>
      <c r="J104">
        <v>1</v>
      </c>
      <c r="K104">
        <v>3</v>
      </c>
      <c r="L104" t="s">
        <v>27</v>
      </c>
      <c r="M104">
        <v>3</v>
      </c>
      <c r="N104">
        <v>3</v>
      </c>
      <c r="O104">
        <v>4</v>
      </c>
      <c r="P104">
        <v>1</v>
      </c>
      <c r="Q104" t="s">
        <v>27</v>
      </c>
    </row>
    <row r="105" spans="1:17" x14ac:dyDescent="0.3">
      <c r="A105" t="s">
        <v>150</v>
      </c>
      <c r="B105">
        <v>32</v>
      </c>
      <c r="C105" t="s">
        <v>35</v>
      </c>
      <c r="D105" t="s">
        <v>25</v>
      </c>
      <c r="E105" t="s">
        <v>26</v>
      </c>
      <c r="F105">
        <v>9191</v>
      </c>
      <c r="G105">
        <v>2</v>
      </c>
      <c r="H105" t="s">
        <v>37</v>
      </c>
      <c r="I105" t="s">
        <v>22</v>
      </c>
      <c r="J105">
        <v>1</v>
      </c>
      <c r="K105">
        <v>2</v>
      </c>
      <c r="L105" t="s">
        <v>27</v>
      </c>
      <c r="M105">
        <v>2</v>
      </c>
      <c r="N105">
        <v>5</v>
      </c>
      <c r="O105">
        <v>3</v>
      </c>
      <c r="P105">
        <v>4</v>
      </c>
      <c r="Q105" t="s">
        <v>27</v>
      </c>
    </row>
    <row r="106" spans="1:17" x14ac:dyDescent="0.3">
      <c r="A106" t="s">
        <v>151</v>
      </c>
      <c r="B106">
        <v>38</v>
      </c>
      <c r="C106" t="s">
        <v>18</v>
      </c>
      <c r="D106" t="s">
        <v>19</v>
      </c>
      <c r="E106" t="s">
        <v>36</v>
      </c>
      <c r="F106">
        <v>5773</v>
      </c>
      <c r="G106">
        <v>7</v>
      </c>
      <c r="H106" t="s">
        <v>33</v>
      </c>
      <c r="I106" t="s">
        <v>22</v>
      </c>
      <c r="J106">
        <v>4</v>
      </c>
      <c r="K106">
        <v>4</v>
      </c>
      <c r="L106" t="s">
        <v>27</v>
      </c>
      <c r="M106">
        <v>4</v>
      </c>
      <c r="N106">
        <v>6</v>
      </c>
      <c r="O106">
        <v>3</v>
      </c>
      <c r="P106">
        <v>3</v>
      </c>
      <c r="Q106" t="s">
        <v>27</v>
      </c>
    </row>
    <row r="107" spans="1:17" x14ac:dyDescent="0.3">
      <c r="A107" t="s">
        <v>152</v>
      </c>
      <c r="B107">
        <v>24</v>
      </c>
      <c r="C107" t="s">
        <v>18</v>
      </c>
      <c r="D107" t="s">
        <v>25</v>
      </c>
      <c r="E107" t="s">
        <v>26</v>
      </c>
      <c r="F107">
        <v>7632</v>
      </c>
      <c r="G107">
        <v>0</v>
      </c>
      <c r="H107" t="s">
        <v>21</v>
      </c>
      <c r="I107" t="s">
        <v>22</v>
      </c>
      <c r="J107">
        <v>3</v>
      </c>
      <c r="K107">
        <v>1</v>
      </c>
      <c r="L107" t="s">
        <v>23</v>
      </c>
      <c r="M107">
        <v>3</v>
      </c>
      <c r="N107">
        <v>12</v>
      </c>
      <c r="O107">
        <v>1</v>
      </c>
      <c r="P107">
        <v>4</v>
      </c>
      <c r="Q107" t="s">
        <v>27</v>
      </c>
    </row>
    <row r="108" spans="1:17" x14ac:dyDescent="0.3">
      <c r="A108" t="s">
        <v>153</v>
      </c>
      <c r="B108">
        <v>21</v>
      </c>
      <c r="C108" t="s">
        <v>18</v>
      </c>
      <c r="D108" t="s">
        <v>19</v>
      </c>
      <c r="E108" t="s">
        <v>20</v>
      </c>
      <c r="F108">
        <v>13256</v>
      </c>
      <c r="G108">
        <v>3</v>
      </c>
      <c r="H108" t="s">
        <v>21</v>
      </c>
      <c r="I108" t="s">
        <v>22</v>
      </c>
      <c r="J108">
        <v>3</v>
      </c>
      <c r="K108">
        <v>4</v>
      </c>
      <c r="L108" t="s">
        <v>27</v>
      </c>
      <c r="M108">
        <v>2</v>
      </c>
      <c r="N108">
        <v>30</v>
      </c>
      <c r="O108">
        <v>4</v>
      </c>
      <c r="P108">
        <v>4</v>
      </c>
      <c r="Q108" t="s">
        <v>27</v>
      </c>
    </row>
    <row r="109" spans="1:17" x14ac:dyDescent="0.3">
      <c r="A109" t="s">
        <v>154</v>
      </c>
      <c r="B109">
        <v>30</v>
      </c>
      <c r="C109" t="s">
        <v>35</v>
      </c>
      <c r="D109" t="s">
        <v>25</v>
      </c>
      <c r="E109" t="s">
        <v>61</v>
      </c>
      <c r="F109">
        <v>10831</v>
      </c>
      <c r="G109">
        <v>12</v>
      </c>
      <c r="H109" t="s">
        <v>21</v>
      </c>
      <c r="I109" t="s">
        <v>56</v>
      </c>
      <c r="J109">
        <v>3</v>
      </c>
      <c r="K109">
        <v>2</v>
      </c>
      <c r="L109" t="s">
        <v>27</v>
      </c>
      <c r="M109">
        <v>4</v>
      </c>
      <c r="N109">
        <v>11</v>
      </c>
      <c r="O109">
        <v>1</v>
      </c>
      <c r="P109">
        <v>2</v>
      </c>
      <c r="Q109" t="s">
        <v>27</v>
      </c>
    </row>
    <row r="110" spans="1:17" x14ac:dyDescent="0.3">
      <c r="A110" t="s">
        <v>155</v>
      </c>
      <c r="B110">
        <v>38</v>
      </c>
      <c r="C110" t="s">
        <v>35</v>
      </c>
      <c r="D110" t="s">
        <v>74</v>
      </c>
      <c r="E110" t="s">
        <v>75</v>
      </c>
      <c r="F110">
        <v>10353</v>
      </c>
      <c r="G110">
        <v>8</v>
      </c>
      <c r="H110" t="s">
        <v>21</v>
      </c>
      <c r="I110" t="s">
        <v>56</v>
      </c>
      <c r="J110">
        <v>4</v>
      </c>
      <c r="K110">
        <v>1</v>
      </c>
      <c r="L110" t="s">
        <v>27</v>
      </c>
      <c r="M110">
        <v>3</v>
      </c>
      <c r="N110">
        <v>2</v>
      </c>
      <c r="O110">
        <v>1</v>
      </c>
      <c r="P110">
        <v>4</v>
      </c>
      <c r="Q110" t="s">
        <v>23</v>
      </c>
    </row>
    <row r="111" spans="1:17" x14ac:dyDescent="0.3">
      <c r="A111" t="s">
        <v>156</v>
      </c>
      <c r="B111">
        <v>29</v>
      </c>
      <c r="C111" t="s">
        <v>35</v>
      </c>
      <c r="D111" t="s">
        <v>74</v>
      </c>
      <c r="E111" t="s">
        <v>75</v>
      </c>
      <c r="F111">
        <v>8161</v>
      </c>
      <c r="G111">
        <v>5</v>
      </c>
      <c r="H111" t="s">
        <v>21</v>
      </c>
      <c r="I111" t="s">
        <v>22</v>
      </c>
      <c r="J111">
        <v>2</v>
      </c>
      <c r="K111">
        <v>2</v>
      </c>
      <c r="L111" t="s">
        <v>27</v>
      </c>
      <c r="M111">
        <v>3</v>
      </c>
      <c r="N111">
        <v>2</v>
      </c>
      <c r="O111">
        <v>1</v>
      </c>
      <c r="P111">
        <v>1</v>
      </c>
      <c r="Q111" t="s">
        <v>27</v>
      </c>
    </row>
    <row r="112" spans="1:17" x14ac:dyDescent="0.3">
      <c r="A112" t="s">
        <v>157</v>
      </c>
      <c r="B112">
        <v>42</v>
      </c>
      <c r="C112" t="s">
        <v>18</v>
      </c>
      <c r="D112" t="s">
        <v>19</v>
      </c>
      <c r="E112" t="s">
        <v>36</v>
      </c>
      <c r="F112">
        <v>5668</v>
      </c>
      <c r="G112">
        <v>4</v>
      </c>
      <c r="H112" t="s">
        <v>46</v>
      </c>
      <c r="I112" t="s">
        <v>31</v>
      </c>
      <c r="J112">
        <v>3</v>
      </c>
      <c r="K112">
        <v>1</v>
      </c>
      <c r="L112" t="s">
        <v>27</v>
      </c>
      <c r="M112">
        <v>3</v>
      </c>
      <c r="N112">
        <v>1</v>
      </c>
      <c r="O112">
        <v>0</v>
      </c>
      <c r="P112">
        <v>4</v>
      </c>
      <c r="Q112" t="s">
        <v>27</v>
      </c>
    </row>
    <row r="113" spans="1:17" x14ac:dyDescent="0.3">
      <c r="A113" t="s">
        <v>158</v>
      </c>
      <c r="B113">
        <v>34</v>
      </c>
      <c r="C113" t="s">
        <v>18</v>
      </c>
      <c r="D113" t="s">
        <v>25</v>
      </c>
      <c r="E113" t="s">
        <v>61</v>
      </c>
      <c r="F113">
        <v>10766</v>
      </c>
      <c r="G113">
        <v>3</v>
      </c>
      <c r="H113" t="s">
        <v>37</v>
      </c>
      <c r="I113" t="s">
        <v>22</v>
      </c>
      <c r="J113">
        <v>4</v>
      </c>
      <c r="K113">
        <v>4</v>
      </c>
      <c r="L113" t="s">
        <v>27</v>
      </c>
      <c r="M113">
        <v>4</v>
      </c>
      <c r="N113">
        <v>29</v>
      </c>
      <c r="O113">
        <v>1</v>
      </c>
      <c r="P113">
        <v>1</v>
      </c>
      <c r="Q113" t="s">
        <v>27</v>
      </c>
    </row>
    <row r="114" spans="1:17" x14ac:dyDescent="0.3">
      <c r="A114" t="s">
        <v>159</v>
      </c>
      <c r="B114">
        <v>46</v>
      </c>
      <c r="C114" t="s">
        <v>35</v>
      </c>
      <c r="D114" t="s">
        <v>29</v>
      </c>
      <c r="E114" t="s">
        <v>49</v>
      </c>
      <c r="F114">
        <v>9785</v>
      </c>
      <c r="G114">
        <v>6</v>
      </c>
      <c r="H114" t="s">
        <v>21</v>
      </c>
      <c r="I114" t="s">
        <v>31</v>
      </c>
      <c r="J114">
        <v>3</v>
      </c>
      <c r="K114">
        <v>1</v>
      </c>
      <c r="L114" t="s">
        <v>27</v>
      </c>
      <c r="M114">
        <v>3</v>
      </c>
      <c r="N114">
        <v>16</v>
      </c>
      <c r="O114">
        <v>6</v>
      </c>
      <c r="P114">
        <v>1</v>
      </c>
      <c r="Q114" t="s">
        <v>27</v>
      </c>
    </row>
    <row r="115" spans="1:17" x14ac:dyDescent="0.3">
      <c r="A115" t="s">
        <v>160</v>
      </c>
      <c r="B115">
        <v>30</v>
      </c>
      <c r="C115" t="s">
        <v>18</v>
      </c>
      <c r="D115" t="s">
        <v>25</v>
      </c>
      <c r="E115" t="s">
        <v>26</v>
      </c>
      <c r="F115">
        <v>7530</v>
      </c>
      <c r="G115">
        <v>4</v>
      </c>
      <c r="H115" t="s">
        <v>21</v>
      </c>
      <c r="I115" t="s">
        <v>31</v>
      </c>
      <c r="J115">
        <v>1</v>
      </c>
      <c r="K115">
        <v>4</v>
      </c>
      <c r="L115" t="s">
        <v>27</v>
      </c>
      <c r="M115">
        <v>4</v>
      </c>
      <c r="N115">
        <v>28</v>
      </c>
      <c r="O115">
        <v>2</v>
      </c>
      <c r="P115">
        <v>4</v>
      </c>
      <c r="Q115" t="s">
        <v>27</v>
      </c>
    </row>
    <row r="116" spans="1:17" x14ac:dyDescent="0.3">
      <c r="A116" t="s">
        <v>161</v>
      </c>
      <c r="B116">
        <v>25</v>
      </c>
      <c r="C116" t="s">
        <v>18</v>
      </c>
      <c r="D116" t="s">
        <v>44</v>
      </c>
      <c r="E116" t="s">
        <v>54</v>
      </c>
      <c r="F116">
        <v>9763</v>
      </c>
      <c r="G116">
        <v>7</v>
      </c>
      <c r="H116" t="s">
        <v>37</v>
      </c>
      <c r="I116" t="s">
        <v>22</v>
      </c>
      <c r="J116">
        <v>3</v>
      </c>
      <c r="K116">
        <v>1</v>
      </c>
      <c r="L116" t="s">
        <v>23</v>
      </c>
      <c r="M116">
        <v>3</v>
      </c>
      <c r="N116">
        <v>17</v>
      </c>
      <c r="O116">
        <v>1</v>
      </c>
      <c r="P116">
        <v>1</v>
      </c>
      <c r="Q116" t="s">
        <v>27</v>
      </c>
    </row>
    <row r="117" spans="1:17" x14ac:dyDescent="0.3">
      <c r="A117" t="s">
        <v>162</v>
      </c>
      <c r="B117">
        <v>25</v>
      </c>
      <c r="C117" t="s">
        <v>18</v>
      </c>
      <c r="D117" t="s">
        <v>74</v>
      </c>
      <c r="E117" t="s">
        <v>75</v>
      </c>
      <c r="F117">
        <v>6623</v>
      </c>
      <c r="G117">
        <v>0</v>
      </c>
      <c r="H117" t="s">
        <v>37</v>
      </c>
      <c r="I117" t="s">
        <v>56</v>
      </c>
      <c r="J117">
        <v>2</v>
      </c>
      <c r="K117">
        <v>2</v>
      </c>
      <c r="L117" t="s">
        <v>27</v>
      </c>
      <c r="M117">
        <v>3</v>
      </c>
      <c r="N117">
        <v>26</v>
      </c>
      <c r="O117">
        <v>0</v>
      </c>
      <c r="P117">
        <v>3</v>
      </c>
      <c r="Q117" t="s">
        <v>27</v>
      </c>
    </row>
    <row r="118" spans="1:17" x14ac:dyDescent="0.3">
      <c r="A118" t="s">
        <v>163</v>
      </c>
      <c r="B118">
        <v>27</v>
      </c>
      <c r="C118" t="s">
        <v>18</v>
      </c>
      <c r="D118" t="s">
        <v>74</v>
      </c>
      <c r="E118" t="s">
        <v>99</v>
      </c>
      <c r="F118">
        <v>7295</v>
      </c>
      <c r="G118">
        <v>6</v>
      </c>
      <c r="H118" t="s">
        <v>37</v>
      </c>
      <c r="I118" t="s">
        <v>22</v>
      </c>
      <c r="J118">
        <v>4</v>
      </c>
      <c r="K118">
        <v>4</v>
      </c>
      <c r="L118" t="s">
        <v>27</v>
      </c>
      <c r="M118">
        <v>3</v>
      </c>
      <c r="N118">
        <v>19</v>
      </c>
      <c r="O118">
        <v>3</v>
      </c>
      <c r="P118">
        <v>2</v>
      </c>
      <c r="Q118" t="s">
        <v>27</v>
      </c>
    </row>
    <row r="119" spans="1:17" x14ac:dyDescent="0.3">
      <c r="A119" t="s">
        <v>164</v>
      </c>
      <c r="B119">
        <v>23</v>
      </c>
      <c r="C119" t="s">
        <v>18</v>
      </c>
      <c r="D119" t="s">
        <v>74</v>
      </c>
      <c r="E119" t="s">
        <v>75</v>
      </c>
      <c r="F119">
        <v>7209</v>
      </c>
      <c r="G119">
        <v>1</v>
      </c>
      <c r="H119" t="s">
        <v>37</v>
      </c>
      <c r="I119" t="s">
        <v>22</v>
      </c>
      <c r="J119">
        <v>3</v>
      </c>
      <c r="K119">
        <v>4</v>
      </c>
      <c r="L119" t="s">
        <v>23</v>
      </c>
      <c r="M119">
        <v>3</v>
      </c>
      <c r="N119">
        <v>9</v>
      </c>
      <c r="O119">
        <v>5</v>
      </c>
      <c r="P119">
        <v>1</v>
      </c>
      <c r="Q119" t="s">
        <v>27</v>
      </c>
    </row>
    <row r="120" spans="1:17" x14ac:dyDescent="0.3">
      <c r="A120" t="s">
        <v>165</v>
      </c>
      <c r="B120">
        <v>19</v>
      </c>
      <c r="C120" t="s">
        <v>35</v>
      </c>
      <c r="D120" t="s">
        <v>70</v>
      </c>
      <c r="E120" t="s">
        <v>144</v>
      </c>
      <c r="F120">
        <v>3396</v>
      </c>
      <c r="G120">
        <v>1</v>
      </c>
      <c r="H120" t="s">
        <v>21</v>
      </c>
      <c r="I120" t="s">
        <v>22</v>
      </c>
      <c r="J120">
        <v>3</v>
      </c>
      <c r="K120">
        <v>3</v>
      </c>
      <c r="L120" t="s">
        <v>27</v>
      </c>
      <c r="M120">
        <v>3</v>
      </c>
      <c r="N120">
        <v>4</v>
      </c>
      <c r="O120">
        <v>1</v>
      </c>
      <c r="P120">
        <v>2</v>
      </c>
      <c r="Q120" t="s">
        <v>27</v>
      </c>
    </row>
    <row r="121" spans="1:17" x14ac:dyDescent="0.3">
      <c r="A121" t="s">
        <v>166</v>
      </c>
      <c r="B121">
        <v>20</v>
      </c>
      <c r="C121" t="s">
        <v>35</v>
      </c>
      <c r="D121" t="s">
        <v>70</v>
      </c>
      <c r="E121" t="s">
        <v>144</v>
      </c>
      <c r="F121">
        <v>5144</v>
      </c>
      <c r="G121">
        <v>2</v>
      </c>
      <c r="H121" t="s">
        <v>37</v>
      </c>
      <c r="I121" t="s">
        <v>31</v>
      </c>
      <c r="J121">
        <v>3</v>
      </c>
      <c r="K121">
        <v>4</v>
      </c>
      <c r="L121" t="s">
        <v>27</v>
      </c>
      <c r="M121">
        <v>3</v>
      </c>
      <c r="N121">
        <v>28</v>
      </c>
      <c r="O121">
        <v>4</v>
      </c>
      <c r="P121">
        <v>4</v>
      </c>
      <c r="Q121" t="s">
        <v>27</v>
      </c>
    </row>
    <row r="122" spans="1:17" x14ac:dyDescent="0.3">
      <c r="A122" t="s">
        <v>167</v>
      </c>
      <c r="B122">
        <v>23</v>
      </c>
      <c r="C122" t="s">
        <v>18</v>
      </c>
      <c r="D122" t="s">
        <v>70</v>
      </c>
      <c r="E122" t="s">
        <v>71</v>
      </c>
      <c r="F122">
        <v>6159</v>
      </c>
      <c r="G122">
        <v>0</v>
      </c>
      <c r="H122" t="s">
        <v>46</v>
      </c>
      <c r="I122" t="s">
        <v>56</v>
      </c>
      <c r="J122">
        <v>4</v>
      </c>
      <c r="K122">
        <v>2</v>
      </c>
      <c r="L122" t="s">
        <v>27</v>
      </c>
      <c r="M122">
        <v>4</v>
      </c>
      <c r="N122">
        <v>23</v>
      </c>
      <c r="O122">
        <v>5</v>
      </c>
      <c r="P122">
        <v>4</v>
      </c>
      <c r="Q122" t="s">
        <v>23</v>
      </c>
    </row>
    <row r="123" spans="1:17" x14ac:dyDescent="0.3">
      <c r="A123" t="s">
        <v>168</v>
      </c>
      <c r="B123">
        <v>31</v>
      </c>
      <c r="C123" t="s">
        <v>35</v>
      </c>
      <c r="D123" t="s">
        <v>70</v>
      </c>
      <c r="E123" t="s">
        <v>144</v>
      </c>
      <c r="F123">
        <v>5258</v>
      </c>
      <c r="G123">
        <v>2</v>
      </c>
      <c r="H123" t="s">
        <v>46</v>
      </c>
      <c r="I123" t="s">
        <v>56</v>
      </c>
      <c r="J123">
        <v>3</v>
      </c>
      <c r="K123">
        <v>4</v>
      </c>
      <c r="L123" t="s">
        <v>23</v>
      </c>
      <c r="M123">
        <v>3</v>
      </c>
      <c r="N123">
        <v>8</v>
      </c>
      <c r="O123">
        <v>3</v>
      </c>
      <c r="P123">
        <v>3</v>
      </c>
      <c r="Q123" t="s">
        <v>27</v>
      </c>
    </row>
    <row r="124" spans="1:17" x14ac:dyDescent="0.3">
      <c r="A124" t="s">
        <v>169</v>
      </c>
      <c r="B124">
        <v>27</v>
      </c>
      <c r="C124" t="s">
        <v>18</v>
      </c>
      <c r="D124" t="s">
        <v>25</v>
      </c>
      <c r="E124" t="s">
        <v>61</v>
      </c>
      <c r="F124">
        <v>10170</v>
      </c>
      <c r="G124">
        <v>5</v>
      </c>
      <c r="H124" t="s">
        <v>21</v>
      </c>
      <c r="I124" t="s">
        <v>22</v>
      </c>
      <c r="J124">
        <v>4</v>
      </c>
      <c r="K124">
        <v>2</v>
      </c>
      <c r="L124" t="s">
        <v>23</v>
      </c>
      <c r="M124">
        <v>3</v>
      </c>
      <c r="N124">
        <v>1</v>
      </c>
      <c r="O124">
        <v>4</v>
      </c>
      <c r="P124">
        <v>4</v>
      </c>
      <c r="Q124" t="s">
        <v>27</v>
      </c>
    </row>
    <row r="125" spans="1:17" x14ac:dyDescent="0.3">
      <c r="A125" t="s">
        <v>170</v>
      </c>
      <c r="B125">
        <v>28</v>
      </c>
      <c r="C125" t="s">
        <v>18</v>
      </c>
      <c r="D125" t="s">
        <v>19</v>
      </c>
      <c r="E125" t="s">
        <v>40</v>
      </c>
      <c r="F125">
        <v>10570</v>
      </c>
      <c r="G125">
        <v>10</v>
      </c>
      <c r="H125" t="s">
        <v>21</v>
      </c>
      <c r="I125" t="s">
        <v>31</v>
      </c>
      <c r="J125">
        <v>1</v>
      </c>
      <c r="K125">
        <v>1</v>
      </c>
      <c r="L125" t="s">
        <v>27</v>
      </c>
      <c r="M125">
        <v>3</v>
      </c>
      <c r="N125">
        <v>23</v>
      </c>
      <c r="O125">
        <v>1</v>
      </c>
      <c r="P125">
        <v>4</v>
      </c>
      <c r="Q125" t="s">
        <v>27</v>
      </c>
    </row>
    <row r="126" spans="1:17" x14ac:dyDescent="0.3">
      <c r="A126" t="s">
        <v>171</v>
      </c>
      <c r="B126">
        <v>34</v>
      </c>
      <c r="C126" t="s">
        <v>35</v>
      </c>
      <c r="D126" t="s">
        <v>44</v>
      </c>
      <c r="E126" t="s">
        <v>20</v>
      </c>
      <c r="F126">
        <v>11721</v>
      </c>
      <c r="G126">
        <v>2</v>
      </c>
      <c r="H126" t="s">
        <v>37</v>
      </c>
      <c r="I126" t="s">
        <v>22</v>
      </c>
      <c r="J126">
        <v>4</v>
      </c>
      <c r="K126">
        <v>2</v>
      </c>
      <c r="L126" t="s">
        <v>27</v>
      </c>
      <c r="M126">
        <v>3</v>
      </c>
      <c r="N126">
        <v>16</v>
      </c>
      <c r="O126">
        <v>6</v>
      </c>
      <c r="P126">
        <v>4</v>
      </c>
      <c r="Q126" t="s">
        <v>27</v>
      </c>
    </row>
    <row r="127" spans="1:17" x14ac:dyDescent="0.3">
      <c r="A127" t="s">
        <v>172</v>
      </c>
      <c r="B127">
        <v>34</v>
      </c>
      <c r="C127" t="s">
        <v>18</v>
      </c>
      <c r="D127" t="s">
        <v>74</v>
      </c>
      <c r="E127" t="s">
        <v>75</v>
      </c>
      <c r="F127">
        <v>10406</v>
      </c>
      <c r="G127">
        <v>8</v>
      </c>
      <c r="H127" t="s">
        <v>37</v>
      </c>
      <c r="I127" t="s">
        <v>31</v>
      </c>
      <c r="J127">
        <v>1</v>
      </c>
      <c r="K127">
        <v>1</v>
      </c>
      <c r="L127" t="s">
        <v>27</v>
      </c>
      <c r="M127">
        <v>4</v>
      </c>
      <c r="N127">
        <v>14</v>
      </c>
      <c r="O127">
        <v>0</v>
      </c>
      <c r="P127">
        <v>2</v>
      </c>
      <c r="Q127" t="s">
        <v>27</v>
      </c>
    </row>
    <row r="128" spans="1:17" x14ac:dyDescent="0.3">
      <c r="A128" t="s">
        <v>173</v>
      </c>
      <c r="B128">
        <v>29</v>
      </c>
      <c r="C128" t="s">
        <v>18</v>
      </c>
      <c r="D128" t="s">
        <v>19</v>
      </c>
      <c r="E128" t="s">
        <v>40</v>
      </c>
      <c r="F128">
        <v>6163</v>
      </c>
      <c r="G128">
        <v>0</v>
      </c>
      <c r="H128" t="s">
        <v>37</v>
      </c>
      <c r="I128" t="s">
        <v>31</v>
      </c>
      <c r="J128">
        <v>1</v>
      </c>
      <c r="K128">
        <v>3</v>
      </c>
      <c r="L128" t="s">
        <v>27</v>
      </c>
      <c r="M128">
        <v>3</v>
      </c>
      <c r="N128">
        <v>28</v>
      </c>
      <c r="O128">
        <v>4</v>
      </c>
      <c r="P128">
        <v>3</v>
      </c>
      <c r="Q128" t="s">
        <v>27</v>
      </c>
    </row>
    <row r="129" spans="1:17" x14ac:dyDescent="0.3">
      <c r="A129" t="s">
        <v>174</v>
      </c>
      <c r="B129">
        <v>20</v>
      </c>
      <c r="C129" t="s">
        <v>18</v>
      </c>
      <c r="D129" t="s">
        <v>25</v>
      </c>
      <c r="E129" t="s">
        <v>26</v>
      </c>
      <c r="F129">
        <v>9661</v>
      </c>
      <c r="G129">
        <v>2</v>
      </c>
      <c r="H129" t="s">
        <v>37</v>
      </c>
      <c r="I129" t="s">
        <v>31</v>
      </c>
      <c r="J129">
        <v>1</v>
      </c>
      <c r="K129">
        <v>3</v>
      </c>
      <c r="L129" t="s">
        <v>23</v>
      </c>
      <c r="M129">
        <v>2</v>
      </c>
      <c r="N129">
        <v>30</v>
      </c>
      <c r="O129">
        <v>2</v>
      </c>
      <c r="P129">
        <v>2</v>
      </c>
      <c r="Q129" t="s">
        <v>23</v>
      </c>
    </row>
    <row r="130" spans="1:17" x14ac:dyDescent="0.3">
      <c r="A130" t="s">
        <v>175</v>
      </c>
      <c r="B130">
        <v>28</v>
      </c>
      <c r="C130" t="s">
        <v>18</v>
      </c>
      <c r="D130" t="s">
        <v>25</v>
      </c>
      <c r="E130" t="s">
        <v>26</v>
      </c>
      <c r="F130">
        <v>8038</v>
      </c>
      <c r="G130">
        <v>0</v>
      </c>
      <c r="H130" t="s">
        <v>37</v>
      </c>
      <c r="I130" t="s">
        <v>31</v>
      </c>
      <c r="J130">
        <v>4</v>
      </c>
      <c r="K130">
        <v>4</v>
      </c>
      <c r="L130" t="s">
        <v>27</v>
      </c>
      <c r="M130">
        <v>3</v>
      </c>
      <c r="N130">
        <v>8</v>
      </c>
      <c r="O130">
        <v>0</v>
      </c>
      <c r="P130">
        <v>1</v>
      </c>
      <c r="Q130" t="s">
        <v>27</v>
      </c>
    </row>
    <row r="131" spans="1:17" x14ac:dyDescent="0.3">
      <c r="A131" t="s">
        <v>176</v>
      </c>
      <c r="B131">
        <v>30</v>
      </c>
      <c r="C131" t="s">
        <v>18</v>
      </c>
      <c r="D131" t="s">
        <v>74</v>
      </c>
      <c r="E131" t="s">
        <v>99</v>
      </c>
      <c r="F131">
        <v>11138</v>
      </c>
      <c r="G131">
        <v>5</v>
      </c>
      <c r="H131" t="s">
        <v>37</v>
      </c>
      <c r="I131" t="s">
        <v>22</v>
      </c>
      <c r="J131">
        <v>3</v>
      </c>
      <c r="K131">
        <v>3</v>
      </c>
      <c r="L131" t="s">
        <v>27</v>
      </c>
      <c r="M131">
        <v>3</v>
      </c>
      <c r="N131">
        <v>7</v>
      </c>
      <c r="O131">
        <v>4</v>
      </c>
      <c r="P131">
        <v>1</v>
      </c>
      <c r="Q131" t="s">
        <v>27</v>
      </c>
    </row>
    <row r="132" spans="1:17" x14ac:dyDescent="0.3">
      <c r="A132" t="s">
        <v>177</v>
      </c>
      <c r="B132">
        <v>47</v>
      </c>
      <c r="C132" t="s">
        <v>35</v>
      </c>
      <c r="D132" t="s">
        <v>19</v>
      </c>
      <c r="E132" t="s">
        <v>36</v>
      </c>
      <c r="F132">
        <v>8379</v>
      </c>
      <c r="G132">
        <v>1</v>
      </c>
      <c r="H132" t="s">
        <v>46</v>
      </c>
      <c r="I132" t="s">
        <v>22</v>
      </c>
      <c r="J132">
        <v>1</v>
      </c>
      <c r="K132">
        <v>1</v>
      </c>
      <c r="L132" t="s">
        <v>27</v>
      </c>
      <c r="M132">
        <v>3</v>
      </c>
      <c r="N132">
        <v>13</v>
      </c>
      <c r="O132">
        <v>4</v>
      </c>
      <c r="P132">
        <v>1</v>
      </c>
      <c r="Q132" t="s">
        <v>27</v>
      </c>
    </row>
    <row r="133" spans="1:17" x14ac:dyDescent="0.3">
      <c r="A133" t="s">
        <v>178</v>
      </c>
      <c r="B133">
        <v>20</v>
      </c>
      <c r="C133" t="s">
        <v>35</v>
      </c>
      <c r="D133" t="s">
        <v>19</v>
      </c>
      <c r="E133" t="s">
        <v>36</v>
      </c>
      <c r="F133">
        <v>6491</v>
      </c>
      <c r="G133">
        <v>0</v>
      </c>
      <c r="H133" t="s">
        <v>37</v>
      </c>
      <c r="I133" t="s">
        <v>31</v>
      </c>
      <c r="J133">
        <v>2</v>
      </c>
      <c r="K133">
        <v>4</v>
      </c>
      <c r="L133" t="s">
        <v>27</v>
      </c>
      <c r="M133">
        <v>3</v>
      </c>
      <c r="N133">
        <v>18</v>
      </c>
      <c r="O133">
        <v>2</v>
      </c>
      <c r="P133">
        <v>1</v>
      </c>
      <c r="Q133" t="s">
        <v>27</v>
      </c>
    </row>
    <row r="134" spans="1:17" x14ac:dyDescent="0.3">
      <c r="A134" t="s">
        <v>179</v>
      </c>
      <c r="B134">
        <v>28</v>
      </c>
      <c r="C134" t="s">
        <v>35</v>
      </c>
      <c r="D134" t="s">
        <v>44</v>
      </c>
      <c r="E134" t="s">
        <v>20</v>
      </c>
      <c r="F134">
        <v>15121</v>
      </c>
      <c r="G134">
        <v>5</v>
      </c>
      <c r="H134" t="s">
        <v>37</v>
      </c>
      <c r="I134" t="s">
        <v>31</v>
      </c>
      <c r="J134">
        <v>4</v>
      </c>
      <c r="K134">
        <v>4</v>
      </c>
      <c r="L134" t="s">
        <v>23</v>
      </c>
      <c r="M134">
        <v>3</v>
      </c>
      <c r="N134">
        <v>26</v>
      </c>
      <c r="O134">
        <v>3</v>
      </c>
      <c r="P134">
        <v>4</v>
      </c>
      <c r="Q134" t="s">
        <v>27</v>
      </c>
    </row>
    <row r="135" spans="1:17" x14ac:dyDescent="0.3">
      <c r="A135" t="s">
        <v>180</v>
      </c>
      <c r="B135">
        <v>33</v>
      </c>
      <c r="C135" t="s">
        <v>35</v>
      </c>
      <c r="D135" t="s">
        <v>19</v>
      </c>
      <c r="E135" t="s">
        <v>40</v>
      </c>
      <c r="F135">
        <v>12757</v>
      </c>
      <c r="G135">
        <v>10</v>
      </c>
      <c r="H135" t="s">
        <v>21</v>
      </c>
      <c r="I135" t="s">
        <v>31</v>
      </c>
      <c r="J135">
        <v>1</v>
      </c>
      <c r="K135">
        <v>4</v>
      </c>
      <c r="L135" t="s">
        <v>27</v>
      </c>
      <c r="M135">
        <v>3</v>
      </c>
      <c r="N135">
        <v>8</v>
      </c>
      <c r="O135">
        <v>4</v>
      </c>
      <c r="P135">
        <v>4</v>
      </c>
      <c r="Q135" t="s">
        <v>23</v>
      </c>
    </row>
    <row r="136" spans="1:17" x14ac:dyDescent="0.3">
      <c r="A136" t="s">
        <v>181</v>
      </c>
      <c r="B136">
        <v>18</v>
      </c>
      <c r="C136" t="s">
        <v>35</v>
      </c>
      <c r="D136" t="s">
        <v>25</v>
      </c>
      <c r="E136" t="s">
        <v>26</v>
      </c>
      <c r="F136">
        <v>6834</v>
      </c>
      <c r="G136">
        <v>0</v>
      </c>
      <c r="H136" t="s">
        <v>37</v>
      </c>
      <c r="I136" t="s">
        <v>31</v>
      </c>
      <c r="J136">
        <v>4</v>
      </c>
      <c r="K136">
        <v>3</v>
      </c>
      <c r="L136" t="s">
        <v>27</v>
      </c>
      <c r="M136">
        <v>4</v>
      </c>
      <c r="N136">
        <v>19</v>
      </c>
      <c r="O136">
        <v>3</v>
      </c>
      <c r="P136">
        <v>3</v>
      </c>
      <c r="Q136" t="s">
        <v>27</v>
      </c>
    </row>
    <row r="137" spans="1:17" x14ac:dyDescent="0.3">
      <c r="A137" t="s">
        <v>182</v>
      </c>
      <c r="B137">
        <v>34</v>
      </c>
      <c r="C137" t="s">
        <v>18</v>
      </c>
      <c r="D137" t="s">
        <v>25</v>
      </c>
      <c r="E137" t="s">
        <v>26</v>
      </c>
      <c r="F137">
        <v>9923</v>
      </c>
      <c r="G137">
        <v>11</v>
      </c>
      <c r="H137" t="s">
        <v>37</v>
      </c>
      <c r="I137" t="s">
        <v>22</v>
      </c>
      <c r="J137">
        <v>4</v>
      </c>
      <c r="K137">
        <v>4</v>
      </c>
      <c r="L137" t="s">
        <v>23</v>
      </c>
      <c r="M137">
        <v>4</v>
      </c>
      <c r="N137">
        <v>15</v>
      </c>
      <c r="O137">
        <v>1</v>
      </c>
      <c r="P137">
        <v>3</v>
      </c>
      <c r="Q137" t="s">
        <v>27</v>
      </c>
    </row>
    <row r="138" spans="1:17" x14ac:dyDescent="0.3">
      <c r="A138" t="s">
        <v>183</v>
      </c>
      <c r="B138">
        <v>31</v>
      </c>
      <c r="C138" t="s">
        <v>35</v>
      </c>
      <c r="D138" t="s">
        <v>44</v>
      </c>
      <c r="E138" t="s">
        <v>45</v>
      </c>
      <c r="F138">
        <v>7736</v>
      </c>
      <c r="G138">
        <v>0</v>
      </c>
      <c r="H138" t="s">
        <v>46</v>
      </c>
      <c r="I138" t="s">
        <v>31</v>
      </c>
      <c r="J138">
        <v>3</v>
      </c>
      <c r="K138">
        <v>4</v>
      </c>
      <c r="L138" t="s">
        <v>23</v>
      </c>
      <c r="M138">
        <v>3</v>
      </c>
      <c r="N138">
        <v>16</v>
      </c>
      <c r="O138">
        <v>3</v>
      </c>
      <c r="P138">
        <v>2</v>
      </c>
      <c r="Q138" t="s">
        <v>23</v>
      </c>
    </row>
    <row r="139" spans="1:17" x14ac:dyDescent="0.3">
      <c r="A139" t="s">
        <v>184</v>
      </c>
      <c r="B139">
        <v>18</v>
      </c>
      <c r="C139" t="s">
        <v>35</v>
      </c>
      <c r="D139" t="s">
        <v>25</v>
      </c>
      <c r="E139" t="s">
        <v>26</v>
      </c>
      <c r="F139">
        <v>8253</v>
      </c>
      <c r="G139">
        <v>0</v>
      </c>
      <c r="H139" t="s">
        <v>21</v>
      </c>
      <c r="I139" t="s">
        <v>22</v>
      </c>
      <c r="J139">
        <v>4</v>
      </c>
      <c r="K139">
        <v>2</v>
      </c>
      <c r="L139" t="s">
        <v>27</v>
      </c>
      <c r="M139">
        <v>3</v>
      </c>
      <c r="N139">
        <v>19</v>
      </c>
      <c r="O139">
        <v>5</v>
      </c>
      <c r="P139">
        <v>1</v>
      </c>
      <c r="Q139" t="s">
        <v>27</v>
      </c>
    </row>
    <row r="140" spans="1:17" x14ac:dyDescent="0.3">
      <c r="A140" t="s">
        <v>185</v>
      </c>
      <c r="B140">
        <v>51</v>
      </c>
      <c r="C140" t="s">
        <v>18</v>
      </c>
      <c r="D140" t="s">
        <v>44</v>
      </c>
      <c r="E140" t="s">
        <v>45</v>
      </c>
      <c r="F140">
        <v>8189</v>
      </c>
      <c r="G140">
        <v>1</v>
      </c>
      <c r="H140" t="s">
        <v>21</v>
      </c>
      <c r="I140" t="s">
        <v>22</v>
      </c>
      <c r="J140">
        <v>2</v>
      </c>
      <c r="K140">
        <v>4</v>
      </c>
      <c r="L140" t="s">
        <v>27</v>
      </c>
      <c r="M140">
        <v>3</v>
      </c>
      <c r="N140">
        <v>23</v>
      </c>
      <c r="O140">
        <v>3</v>
      </c>
      <c r="P140">
        <v>4</v>
      </c>
      <c r="Q140" t="s">
        <v>27</v>
      </c>
    </row>
    <row r="141" spans="1:17" x14ac:dyDescent="0.3">
      <c r="A141" t="s">
        <v>186</v>
      </c>
      <c r="B141">
        <v>36</v>
      </c>
      <c r="C141" t="s">
        <v>35</v>
      </c>
      <c r="D141" t="s">
        <v>29</v>
      </c>
      <c r="E141" t="s">
        <v>30</v>
      </c>
      <c r="F141">
        <v>5271</v>
      </c>
      <c r="G141">
        <v>0</v>
      </c>
      <c r="H141" t="s">
        <v>21</v>
      </c>
      <c r="I141" t="s">
        <v>31</v>
      </c>
      <c r="J141">
        <v>2</v>
      </c>
      <c r="K141">
        <v>3</v>
      </c>
      <c r="L141" t="s">
        <v>27</v>
      </c>
      <c r="M141">
        <v>2</v>
      </c>
      <c r="N141">
        <v>12</v>
      </c>
      <c r="O141">
        <v>4</v>
      </c>
      <c r="P141">
        <v>2</v>
      </c>
      <c r="Q141" t="s">
        <v>27</v>
      </c>
    </row>
    <row r="142" spans="1:17" x14ac:dyDescent="0.3">
      <c r="A142" t="s">
        <v>187</v>
      </c>
      <c r="B142">
        <v>35</v>
      </c>
      <c r="C142" t="s">
        <v>35</v>
      </c>
      <c r="D142" t="s">
        <v>25</v>
      </c>
      <c r="E142" t="s">
        <v>26</v>
      </c>
      <c r="F142">
        <v>9458</v>
      </c>
      <c r="G142">
        <v>10</v>
      </c>
      <c r="H142" t="s">
        <v>37</v>
      </c>
      <c r="I142" t="s">
        <v>22</v>
      </c>
      <c r="J142">
        <v>1</v>
      </c>
      <c r="K142">
        <v>3</v>
      </c>
      <c r="L142" t="s">
        <v>23</v>
      </c>
      <c r="M142">
        <v>3</v>
      </c>
      <c r="N142">
        <v>8</v>
      </c>
      <c r="O142">
        <v>0</v>
      </c>
      <c r="P142">
        <v>4</v>
      </c>
      <c r="Q142" t="s">
        <v>27</v>
      </c>
    </row>
    <row r="143" spans="1:17" x14ac:dyDescent="0.3">
      <c r="A143" t="s">
        <v>188</v>
      </c>
      <c r="B143">
        <v>42</v>
      </c>
      <c r="C143" t="s">
        <v>18</v>
      </c>
      <c r="D143" t="s">
        <v>44</v>
      </c>
      <c r="E143" t="s">
        <v>54</v>
      </c>
      <c r="F143">
        <v>8555</v>
      </c>
      <c r="G143">
        <v>8</v>
      </c>
      <c r="H143" t="s">
        <v>21</v>
      </c>
      <c r="I143" t="s">
        <v>31</v>
      </c>
      <c r="J143">
        <v>3</v>
      </c>
      <c r="K143">
        <v>3</v>
      </c>
      <c r="L143" t="s">
        <v>27</v>
      </c>
      <c r="M143">
        <v>3</v>
      </c>
      <c r="N143">
        <v>9</v>
      </c>
      <c r="O143">
        <v>3</v>
      </c>
      <c r="P143">
        <v>4</v>
      </c>
      <c r="Q143" t="s">
        <v>23</v>
      </c>
    </row>
    <row r="144" spans="1:17" x14ac:dyDescent="0.3">
      <c r="A144" t="s">
        <v>189</v>
      </c>
      <c r="B144">
        <v>40</v>
      </c>
      <c r="C144" t="s">
        <v>18</v>
      </c>
      <c r="D144" t="s">
        <v>25</v>
      </c>
      <c r="E144" t="s">
        <v>61</v>
      </c>
      <c r="F144">
        <v>11669</v>
      </c>
      <c r="G144">
        <v>7</v>
      </c>
      <c r="H144" t="s">
        <v>21</v>
      </c>
      <c r="I144" t="s">
        <v>22</v>
      </c>
      <c r="J144">
        <v>3</v>
      </c>
      <c r="K144">
        <v>3</v>
      </c>
      <c r="L144" t="s">
        <v>27</v>
      </c>
      <c r="M144">
        <v>3</v>
      </c>
      <c r="N144">
        <v>26</v>
      </c>
      <c r="O144">
        <v>3</v>
      </c>
      <c r="P144">
        <v>3</v>
      </c>
      <c r="Q144" t="s">
        <v>27</v>
      </c>
    </row>
    <row r="145" spans="1:17" x14ac:dyDescent="0.3">
      <c r="A145" t="s">
        <v>190</v>
      </c>
      <c r="B145">
        <v>30</v>
      </c>
      <c r="C145" t="s">
        <v>18</v>
      </c>
      <c r="D145" t="s">
        <v>25</v>
      </c>
      <c r="E145" t="s">
        <v>61</v>
      </c>
      <c r="F145">
        <v>5274</v>
      </c>
      <c r="G145">
        <v>2</v>
      </c>
      <c r="H145" t="s">
        <v>21</v>
      </c>
      <c r="I145" t="s">
        <v>31</v>
      </c>
      <c r="J145">
        <v>3</v>
      </c>
      <c r="K145">
        <v>4</v>
      </c>
      <c r="L145" t="s">
        <v>27</v>
      </c>
      <c r="M145">
        <v>3</v>
      </c>
      <c r="N145">
        <v>5</v>
      </c>
      <c r="O145">
        <v>1</v>
      </c>
      <c r="P145">
        <v>3</v>
      </c>
      <c r="Q145" t="s">
        <v>27</v>
      </c>
    </row>
    <row r="146" spans="1:17" x14ac:dyDescent="0.3">
      <c r="A146" t="s">
        <v>191</v>
      </c>
      <c r="B146">
        <v>33</v>
      </c>
      <c r="C146" t="s">
        <v>35</v>
      </c>
      <c r="D146" t="s">
        <v>74</v>
      </c>
      <c r="E146" t="s">
        <v>75</v>
      </c>
      <c r="F146">
        <v>8862</v>
      </c>
      <c r="G146">
        <v>0</v>
      </c>
      <c r="H146" t="s">
        <v>37</v>
      </c>
      <c r="I146" t="s">
        <v>22</v>
      </c>
      <c r="J146">
        <v>2</v>
      </c>
      <c r="K146">
        <v>4</v>
      </c>
      <c r="L146" t="s">
        <v>27</v>
      </c>
      <c r="M146">
        <v>3</v>
      </c>
      <c r="N146">
        <v>6</v>
      </c>
      <c r="O146">
        <v>4</v>
      </c>
      <c r="P146">
        <v>3</v>
      </c>
      <c r="Q146" t="s">
        <v>27</v>
      </c>
    </row>
    <row r="147" spans="1:17" x14ac:dyDescent="0.3">
      <c r="A147" t="s">
        <v>192</v>
      </c>
      <c r="B147">
        <v>33</v>
      </c>
      <c r="C147" t="s">
        <v>18</v>
      </c>
      <c r="D147" t="s">
        <v>19</v>
      </c>
      <c r="E147" t="s">
        <v>40</v>
      </c>
      <c r="F147">
        <v>8080</v>
      </c>
      <c r="G147">
        <v>4</v>
      </c>
      <c r="H147" t="s">
        <v>21</v>
      </c>
      <c r="I147" t="s">
        <v>22</v>
      </c>
      <c r="J147">
        <v>3</v>
      </c>
      <c r="K147">
        <v>3</v>
      </c>
      <c r="L147" t="s">
        <v>27</v>
      </c>
      <c r="M147">
        <v>4</v>
      </c>
      <c r="N147">
        <v>13</v>
      </c>
      <c r="O147">
        <v>0</v>
      </c>
      <c r="P147">
        <v>1</v>
      </c>
      <c r="Q147" t="s">
        <v>27</v>
      </c>
    </row>
    <row r="148" spans="1:17" x14ac:dyDescent="0.3">
      <c r="A148" t="s">
        <v>193</v>
      </c>
      <c r="B148">
        <v>43</v>
      </c>
      <c r="C148" t="s">
        <v>18</v>
      </c>
      <c r="D148" t="s">
        <v>19</v>
      </c>
      <c r="E148" t="s">
        <v>36</v>
      </c>
      <c r="F148">
        <v>4812</v>
      </c>
      <c r="G148">
        <v>4</v>
      </c>
      <c r="H148" t="s">
        <v>37</v>
      </c>
      <c r="I148" t="s">
        <v>31</v>
      </c>
      <c r="J148">
        <v>1</v>
      </c>
      <c r="K148">
        <v>4</v>
      </c>
      <c r="L148" t="s">
        <v>27</v>
      </c>
      <c r="M148">
        <v>3</v>
      </c>
      <c r="N148">
        <v>13</v>
      </c>
      <c r="O148">
        <v>2</v>
      </c>
      <c r="P148">
        <v>1</v>
      </c>
      <c r="Q148" t="s">
        <v>27</v>
      </c>
    </row>
    <row r="149" spans="1:17" x14ac:dyDescent="0.3">
      <c r="A149" t="s">
        <v>194</v>
      </c>
      <c r="B149">
        <v>30</v>
      </c>
      <c r="C149" t="s">
        <v>18</v>
      </c>
      <c r="D149" t="s">
        <v>19</v>
      </c>
      <c r="E149" t="s">
        <v>20</v>
      </c>
      <c r="F149">
        <v>12629</v>
      </c>
      <c r="G149">
        <v>10</v>
      </c>
      <c r="H149" t="s">
        <v>46</v>
      </c>
      <c r="I149" t="s">
        <v>56</v>
      </c>
      <c r="J149">
        <v>1</v>
      </c>
      <c r="K149">
        <v>4</v>
      </c>
      <c r="L149" t="s">
        <v>23</v>
      </c>
      <c r="M149">
        <v>3</v>
      </c>
      <c r="N149">
        <v>10</v>
      </c>
      <c r="O149">
        <v>4</v>
      </c>
      <c r="P149">
        <v>4</v>
      </c>
      <c r="Q149" t="s">
        <v>23</v>
      </c>
    </row>
    <row r="150" spans="1:17" x14ac:dyDescent="0.3">
      <c r="A150" t="s">
        <v>195</v>
      </c>
      <c r="B150">
        <v>30</v>
      </c>
      <c r="C150" t="s">
        <v>18</v>
      </c>
      <c r="D150" t="s">
        <v>44</v>
      </c>
      <c r="E150" t="s">
        <v>54</v>
      </c>
      <c r="F150">
        <v>6777</v>
      </c>
      <c r="G150">
        <v>2</v>
      </c>
      <c r="H150" t="s">
        <v>37</v>
      </c>
      <c r="I150" t="s">
        <v>22</v>
      </c>
      <c r="J150">
        <v>4</v>
      </c>
      <c r="K150">
        <v>4</v>
      </c>
      <c r="L150" t="s">
        <v>27</v>
      </c>
      <c r="M150">
        <v>1</v>
      </c>
      <c r="N150">
        <v>24</v>
      </c>
      <c r="O150">
        <v>3</v>
      </c>
      <c r="P150">
        <v>2</v>
      </c>
      <c r="Q150" t="s">
        <v>27</v>
      </c>
    </row>
    <row r="151" spans="1:17" x14ac:dyDescent="0.3">
      <c r="A151" t="s">
        <v>196</v>
      </c>
      <c r="B151">
        <v>25</v>
      </c>
      <c r="C151" t="s">
        <v>35</v>
      </c>
      <c r="D151" t="s">
        <v>74</v>
      </c>
      <c r="E151" t="s">
        <v>20</v>
      </c>
      <c r="F151">
        <v>10664</v>
      </c>
      <c r="G151">
        <v>7</v>
      </c>
      <c r="H151" t="s">
        <v>37</v>
      </c>
      <c r="I151" t="s">
        <v>22</v>
      </c>
      <c r="J151">
        <v>2</v>
      </c>
      <c r="K151">
        <v>4</v>
      </c>
      <c r="L151" t="s">
        <v>23</v>
      </c>
      <c r="M151">
        <v>3</v>
      </c>
      <c r="N151">
        <v>11</v>
      </c>
      <c r="O151">
        <v>3</v>
      </c>
      <c r="P151">
        <v>2</v>
      </c>
      <c r="Q151" t="s">
        <v>27</v>
      </c>
    </row>
    <row r="152" spans="1:17" x14ac:dyDescent="0.3">
      <c r="A152" t="s">
        <v>197</v>
      </c>
      <c r="B152">
        <v>40</v>
      </c>
      <c r="C152" t="s">
        <v>35</v>
      </c>
      <c r="D152" t="s">
        <v>74</v>
      </c>
      <c r="E152" t="s">
        <v>75</v>
      </c>
      <c r="F152">
        <v>6245</v>
      </c>
      <c r="G152">
        <v>3</v>
      </c>
      <c r="H152" t="s">
        <v>37</v>
      </c>
      <c r="I152" t="s">
        <v>56</v>
      </c>
      <c r="J152">
        <v>4</v>
      </c>
      <c r="K152">
        <v>3</v>
      </c>
      <c r="L152" t="s">
        <v>27</v>
      </c>
      <c r="M152">
        <v>3</v>
      </c>
      <c r="N152">
        <v>26</v>
      </c>
      <c r="O152">
        <v>3</v>
      </c>
      <c r="P152">
        <v>4</v>
      </c>
      <c r="Q152" t="s">
        <v>27</v>
      </c>
    </row>
    <row r="153" spans="1:17" x14ac:dyDescent="0.3">
      <c r="A153" t="s">
        <v>198</v>
      </c>
      <c r="B153">
        <v>29</v>
      </c>
      <c r="C153" t="s">
        <v>18</v>
      </c>
      <c r="D153" t="s">
        <v>25</v>
      </c>
      <c r="E153" t="s">
        <v>61</v>
      </c>
      <c r="F153">
        <v>5034</v>
      </c>
      <c r="G153">
        <v>1</v>
      </c>
      <c r="H153" t="s">
        <v>46</v>
      </c>
      <c r="I153" t="s">
        <v>31</v>
      </c>
      <c r="J153">
        <v>1</v>
      </c>
      <c r="K153">
        <v>4</v>
      </c>
      <c r="L153" t="s">
        <v>27</v>
      </c>
      <c r="M153">
        <v>2</v>
      </c>
      <c r="N153">
        <v>1</v>
      </c>
      <c r="O153">
        <v>1</v>
      </c>
      <c r="P153">
        <v>1</v>
      </c>
      <c r="Q153" t="s">
        <v>27</v>
      </c>
    </row>
    <row r="154" spans="1:17" x14ac:dyDescent="0.3">
      <c r="A154" t="s">
        <v>199</v>
      </c>
      <c r="B154">
        <v>30</v>
      </c>
      <c r="C154" t="s">
        <v>35</v>
      </c>
      <c r="D154" t="s">
        <v>29</v>
      </c>
      <c r="E154" t="s">
        <v>20</v>
      </c>
      <c r="F154">
        <v>9836</v>
      </c>
      <c r="G154">
        <v>3</v>
      </c>
      <c r="H154" t="s">
        <v>37</v>
      </c>
      <c r="I154" t="s">
        <v>31</v>
      </c>
      <c r="J154">
        <v>3</v>
      </c>
      <c r="K154">
        <v>2</v>
      </c>
      <c r="L154" t="s">
        <v>27</v>
      </c>
      <c r="M154">
        <v>3</v>
      </c>
      <c r="N154">
        <v>14</v>
      </c>
      <c r="O154">
        <v>5</v>
      </c>
      <c r="P154">
        <v>2</v>
      </c>
      <c r="Q154" t="s">
        <v>27</v>
      </c>
    </row>
    <row r="155" spans="1:17" x14ac:dyDescent="0.3">
      <c r="A155" t="s">
        <v>200</v>
      </c>
      <c r="B155">
        <v>33</v>
      </c>
      <c r="C155" t="s">
        <v>35</v>
      </c>
      <c r="D155" t="s">
        <v>25</v>
      </c>
      <c r="E155" t="s">
        <v>26</v>
      </c>
      <c r="F155">
        <v>11214</v>
      </c>
      <c r="G155">
        <v>6</v>
      </c>
      <c r="H155" t="s">
        <v>37</v>
      </c>
      <c r="I155" t="s">
        <v>22</v>
      </c>
      <c r="J155">
        <v>4</v>
      </c>
      <c r="K155">
        <v>4</v>
      </c>
      <c r="L155" t="s">
        <v>27</v>
      </c>
      <c r="M155">
        <v>2</v>
      </c>
      <c r="N155">
        <v>27</v>
      </c>
      <c r="O155">
        <v>1</v>
      </c>
      <c r="P155">
        <v>3</v>
      </c>
      <c r="Q155" t="s">
        <v>23</v>
      </c>
    </row>
    <row r="156" spans="1:17" x14ac:dyDescent="0.3">
      <c r="A156" t="s">
        <v>201</v>
      </c>
      <c r="B156">
        <v>40</v>
      </c>
      <c r="C156" t="s">
        <v>18</v>
      </c>
      <c r="D156" t="s">
        <v>44</v>
      </c>
      <c r="E156" t="s">
        <v>45</v>
      </c>
      <c r="F156">
        <v>7956</v>
      </c>
      <c r="G156">
        <v>0</v>
      </c>
      <c r="H156" t="s">
        <v>21</v>
      </c>
      <c r="I156" t="s">
        <v>31</v>
      </c>
      <c r="J156">
        <v>4</v>
      </c>
      <c r="K156">
        <v>1</v>
      </c>
      <c r="L156" t="s">
        <v>27</v>
      </c>
      <c r="M156">
        <v>2</v>
      </c>
      <c r="N156">
        <v>14</v>
      </c>
      <c r="O156">
        <v>2</v>
      </c>
      <c r="P156">
        <v>1</v>
      </c>
      <c r="Q156" t="s">
        <v>27</v>
      </c>
    </row>
    <row r="157" spans="1:17" x14ac:dyDescent="0.3">
      <c r="A157" t="s">
        <v>202</v>
      </c>
      <c r="B157">
        <v>23</v>
      </c>
      <c r="C157" t="s">
        <v>35</v>
      </c>
      <c r="D157" t="s">
        <v>29</v>
      </c>
      <c r="E157" t="s">
        <v>49</v>
      </c>
      <c r="F157">
        <v>5740</v>
      </c>
      <c r="G157">
        <v>2</v>
      </c>
      <c r="H157" t="s">
        <v>37</v>
      </c>
      <c r="I157" t="s">
        <v>22</v>
      </c>
      <c r="J157">
        <v>3</v>
      </c>
      <c r="K157">
        <v>2</v>
      </c>
      <c r="L157" t="s">
        <v>27</v>
      </c>
      <c r="M157">
        <v>3</v>
      </c>
      <c r="N157">
        <v>27</v>
      </c>
      <c r="O157">
        <v>1</v>
      </c>
      <c r="P157">
        <v>3</v>
      </c>
      <c r="Q157" t="s">
        <v>27</v>
      </c>
    </row>
    <row r="158" spans="1:17" x14ac:dyDescent="0.3">
      <c r="A158" t="s">
        <v>203</v>
      </c>
      <c r="B158">
        <v>27</v>
      </c>
      <c r="C158" t="s">
        <v>18</v>
      </c>
      <c r="D158" t="s">
        <v>25</v>
      </c>
      <c r="E158" t="s">
        <v>26</v>
      </c>
      <c r="F158">
        <v>8631</v>
      </c>
      <c r="G158">
        <v>1</v>
      </c>
      <c r="H158" t="s">
        <v>37</v>
      </c>
      <c r="I158" t="s">
        <v>31</v>
      </c>
      <c r="J158">
        <v>1</v>
      </c>
      <c r="K158">
        <v>3</v>
      </c>
      <c r="L158" t="s">
        <v>23</v>
      </c>
      <c r="M158">
        <v>4</v>
      </c>
      <c r="N158">
        <v>18</v>
      </c>
      <c r="O158">
        <v>1</v>
      </c>
      <c r="P158">
        <v>4</v>
      </c>
      <c r="Q158" t="s">
        <v>27</v>
      </c>
    </row>
    <row r="159" spans="1:17" x14ac:dyDescent="0.3">
      <c r="A159" t="s">
        <v>204</v>
      </c>
      <c r="B159">
        <v>34</v>
      </c>
      <c r="C159" t="s">
        <v>18</v>
      </c>
      <c r="D159" t="s">
        <v>19</v>
      </c>
      <c r="E159" t="s">
        <v>20</v>
      </c>
      <c r="F159">
        <v>10490</v>
      </c>
      <c r="G159">
        <v>4</v>
      </c>
      <c r="H159" t="s">
        <v>33</v>
      </c>
      <c r="I159" t="s">
        <v>31</v>
      </c>
      <c r="J159">
        <v>3</v>
      </c>
      <c r="K159">
        <v>4</v>
      </c>
      <c r="L159" t="s">
        <v>27</v>
      </c>
      <c r="M159">
        <v>3</v>
      </c>
      <c r="N159">
        <v>16</v>
      </c>
      <c r="O159">
        <v>2</v>
      </c>
      <c r="P159">
        <v>1</v>
      </c>
      <c r="Q159" t="s">
        <v>27</v>
      </c>
    </row>
    <row r="160" spans="1:17" x14ac:dyDescent="0.3">
      <c r="A160" t="s">
        <v>205</v>
      </c>
      <c r="B160">
        <v>25</v>
      </c>
      <c r="C160" t="s">
        <v>35</v>
      </c>
      <c r="D160" t="s">
        <v>25</v>
      </c>
      <c r="E160" t="s">
        <v>61</v>
      </c>
      <c r="F160">
        <v>9126</v>
      </c>
      <c r="G160">
        <v>6</v>
      </c>
      <c r="H160" t="s">
        <v>46</v>
      </c>
      <c r="I160" t="s">
        <v>22</v>
      </c>
      <c r="J160">
        <v>2</v>
      </c>
      <c r="K160">
        <v>4</v>
      </c>
      <c r="L160" t="s">
        <v>27</v>
      </c>
      <c r="M160">
        <v>4</v>
      </c>
      <c r="N160">
        <v>27</v>
      </c>
      <c r="O160">
        <v>6</v>
      </c>
      <c r="P160">
        <v>4</v>
      </c>
      <c r="Q160" t="s">
        <v>23</v>
      </c>
    </row>
    <row r="161" spans="1:17" x14ac:dyDescent="0.3">
      <c r="A161" t="s">
        <v>206</v>
      </c>
      <c r="B161">
        <v>36</v>
      </c>
      <c r="C161" t="s">
        <v>35</v>
      </c>
      <c r="D161" t="s">
        <v>74</v>
      </c>
      <c r="E161" t="s">
        <v>75</v>
      </c>
      <c r="F161">
        <v>7265</v>
      </c>
      <c r="G161">
        <v>2</v>
      </c>
      <c r="H161" t="s">
        <v>21</v>
      </c>
      <c r="I161" t="s">
        <v>22</v>
      </c>
      <c r="J161">
        <v>1</v>
      </c>
      <c r="K161">
        <v>4</v>
      </c>
      <c r="L161" t="s">
        <v>27</v>
      </c>
      <c r="M161">
        <v>2</v>
      </c>
      <c r="N161">
        <v>28</v>
      </c>
      <c r="O161">
        <v>3</v>
      </c>
      <c r="P161">
        <v>1</v>
      </c>
      <c r="Q161" t="s">
        <v>27</v>
      </c>
    </row>
    <row r="162" spans="1:17" x14ac:dyDescent="0.3">
      <c r="A162" t="s">
        <v>207</v>
      </c>
      <c r="B162">
        <v>34</v>
      </c>
      <c r="C162" t="s">
        <v>35</v>
      </c>
      <c r="D162" t="s">
        <v>19</v>
      </c>
      <c r="E162" t="s">
        <v>36</v>
      </c>
      <c r="F162">
        <v>8825</v>
      </c>
      <c r="G162">
        <v>1</v>
      </c>
      <c r="H162" t="s">
        <v>37</v>
      </c>
      <c r="I162" t="s">
        <v>31</v>
      </c>
      <c r="J162">
        <v>4</v>
      </c>
      <c r="K162">
        <v>4</v>
      </c>
      <c r="L162" t="s">
        <v>23</v>
      </c>
      <c r="M162">
        <v>3</v>
      </c>
      <c r="N162">
        <v>3</v>
      </c>
      <c r="O162">
        <v>3</v>
      </c>
      <c r="P162">
        <v>2</v>
      </c>
      <c r="Q162" t="s">
        <v>27</v>
      </c>
    </row>
    <row r="163" spans="1:17" x14ac:dyDescent="0.3">
      <c r="A163" t="s">
        <v>208</v>
      </c>
      <c r="B163">
        <v>40</v>
      </c>
      <c r="C163" t="s">
        <v>18</v>
      </c>
      <c r="D163" t="s">
        <v>19</v>
      </c>
      <c r="E163" t="s">
        <v>36</v>
      </c>
      <c r="F163">
        <v>11663</v>
      </c>
      <c r="G163">
        <v>9</v>
      </c>
      <c r="H163" t="s">
        <v>21</v>
      </c>
      <c r="I163" t="s">
        <v>22</v>
      </c>
      <c r="J163">
        <v>3</v>
      </c>
      <c r="K163">
        <v>3</v>
      </c>
      <c r="L163" t="s">
        <v>23</v>
      </c>
      <c r="M163">
        <v>3</v>
      </c>
      <c r="N163">
        <v>2</v>
      </c>
      <c r="O163">
        <v>1</v>
      </c>
      <c r="P163">
        <v>3</v>
      </c>
      <c r="Q163" t="s">
        <v>27</v>
      </c>
    </row>
    <row r="164" spans="1:17" x14ac:dyDescent="0.3">
      <c r="A164" t="s">
        <v>209</v>
      </c>
      <c r="B164">
        <v>40</v>
      </c>
      <c r="C164" t="s">
        <v>18</v>
      </c>
      <c r="D164" t="s">
        <v>70</v>
      </c>
      <c r="E164" t="s">
        <v>20</v>
      </c>
      <c r="F164">
        <v>10769</v>
      </c>
      <c r="G164">
        <v>1</v>
      </c>
      <c r="H164" t="s">
        <v>37</v>
      </c>
      <c r="I164" t="s">
        <v>31</v>
      </c>
      <c r="J164">
        <v>3</v>
      </c>
      <c r="K164">
        <v>3</v>
      </c>
      <c r="L164" t="s">
        <v>23</v>
      </c>
      <c r="M164">
        <v>3</v>
      </c>
      <c r="N164">
        <v>21</v>
      </c>
      <c r="O164">
        <v>5</v>
      </c>
      <c r="P164">
        <v>4</v>
      </c>
      <c r="Q164" t="s">
        <v>27</v>
      </c>
    </row>
    <row r="165" spans="1:17" x14ac:dyDescent="0.3">
      <c r="A165" t="s">
        <v>210</v>
      </c>
      <c r="B165">
        <v>40</v>
      </c>
      <c r="C165" t="s">
        <v>35</v>
      </c>
      <c r="D165" t="s">
        <v>25</v>
      </c>
      <c r="E165" t="s">
        <v>20</v>
      </c>
      <c r="F165">
        <v>11623</v>
      </c>
      <c r="G165">
        <v>0</v>
      </c>
      <c r="H165" t="s">
        <v>37</v>
      </c>
      <c r="I165" t="s">
        <v>31</v>
      </c>
      <c r="J165">
        <v>3</v>
      </c>
      <c r="K165">
        <v>3</v>
      </c>
      <c r="L165" t="s">
        <v>27</v>
      </c>
      <c r="M165">
        <v>3</v>
      </c>
      <c r="N165">
        <v>14</v>
      </c>
      <c r="O165">
        <v>3</v>
      </c>
      <c r="P165">
        <v>1</v>
      </c>
      <c r="Q165" t="s">
        <v>27</v>
      </c>
    </row>
    <row r="166" spans="1:17" x14ac:dyDescent="0.3">
      <c r="A166" t="s">
        <v>211</v>
      </c>
      <c r="B166">
        <v>30</v>
      </c>
      <c r="C166" t="s">
        <v>18</v>
      </c>
      <c r="D166" t="s">
        <v>29</v>
      </c>
      <c r="E166" t="s">
        <v>49</v>
      </c>
      <c r="F166">
        <v>11778</v>
      </c>
      <c r="G166">
        <v>12</v>
      </c>
      <c r="H166" t="s">
        <v>33</v>
      </c>
      <c r="I166" t="s">
        <v>31</v>
      </c>
      <c r="J166">
        <v>2</v>
      </c>
      <c r="K166">
        <v>4</v>
      </c>
      <c r="L166" t="s">
        <v>27</v>
      </c>
      <c r="M166">
        <v>4</v>
      </c>
      <c r="N166">
        <v>3</v>
      </c>
      <c r="O166">
        <v>1</v>
      </c>
      <c r="P166">
        <v>3</v>
      </c>
      <c r="Q166" t="s">
        <v>27</v>
      </c>
    </row>
    <row r="167" spans="1:17" x14ac:dyDescent="0.3">
      <c r="A167" t="s">
        <v>212</v>
      </c>
      <c r="B167">
        <v>51</v>
      </c>
      <c r="C167" t="s">
        <v>18</v>
      </c>
      <c r="D167" t="s">
        <v>29</v>
      </c>
      <c r="E167" t="s">
        <v>30</v>
      </c>
      <c r="F167">
        <v>8357</v>
      </c>
      <c r="G167">
        <v>2</v>
      </c>
      <c r="H167" t="s">
        <v>37</v>
      </c>
      <c r="I167" t="s">
        <v>31</v>
      </c>
      <c r="J167">
        <v>4</v>
      </c>
      <c r="K167">
        <v>2</v>
      </c>
      <c r="L167" t="s">
        <v>23</v>
      </c>
      <c r="M167">
        <v>2</v>
      </c>
      <c r="N167">
        <v>17</v>
      </c>
      <c r="O167">
        <v>5</v>
      </c>
      <c r="P167">
        <v>1</v>
      </c>
      <c r="Q167" t="s">
        <v>23</v>
      </c>
    </row>
    <row r="168" spans="1:17" x14ac:dyDescent="0.3">
      <c r="A168" t="s">
        <v>213</v>
      </c>
      <c r="B168">
        <v>39</v>
      </c>
      <c r="C168" t="s">
        <v>35</v>
      </c>
      <c r="D168" t="s">
        <v>25</v>
      </c>
      <c r="E168" t="s">
        <v>26</v>
      </c>
      <c r="F168">
        <v>9249</v>
      </c>
      <c r="G168">
        <v>0</v>
      </c>
      <c r="H168" t="s">
        <v>37</v>
      </c>
      <c r="I168" t="s">
        <v>31</v>
      </c>
      <c r="J168">
        <v>4</v>
      </c>
      <c r="K168">
        <v>4</v>
      </c>
      <c r="L168" t="s">
        <v>27</v>
      </c>
      <c r="M168">
        <v>3</v>
      </c>
      <c r="N168">
        <v>22</v>
      </c>
      <c r="O168">
        <v>0</v>
      </c>
      <c r="P168">
        <v>4</v>
      </c>
      <c r="Q168" t="s">
        <v>27</v>
      </c>
    </row>
    <row r="169" spans="1:17" x14ac:dyDescent="0.3">
      <c r="A169" t="s">
        <v>214</v>
      </c>
      <c r="B169">
        <v>40</v>
      </c>
      <c r="C169" t="s">
        <v>35</v>
      </c>
      <c r="D169" t="s">
        <v>19</v>
      </c>
      <c r="E169" t="s">
        <v>40</v>
      </c>
      <c r="F169">
        <v>7067</v>
      </c>
      <c r="G169">
        <v>4</v>
      </c>
      <c r="H169" t="s">
        <v>46</v>
      </c>
      <c r="I169" t="s">
        <v>56</v>
      </c>
      <c r="J169">
        <v>1</v>
      </c>
      <c r="K169">
        <v>1</v>
      </c>
      <c r="L169" t="s">
        <v>23</v>
      </c>
      <c r="M169">
        <v>2</v>
      </c>
      <c r="N169">
        <v>12</v>
      </c>
      <c r="O169">
        <v>0</v>
      </c>
      <c r="P169">
        <v>1</v>
      </c>
      <c r="Q169" t="s">
        <v>23</v>
      </c>
    </row>
    <row r="170" spans="1:17" x14ac:dyDescent="0.3">
      <c r="A170" t="s">
        <v>215</v>
      </c>
      <c r="B170">
        <v>25</v>
      </c>
      <c r="C170" t="s">
        <v>18</v>
      </c>
      <c r="D170" t="s">
        <v>25</v>
      </c>
      <c r="E170" t="s">
        <v>20</v>
      </c>
      <c r="F170">
        <v>11702</v>
      </c>
      <c r="G170">
        <v>2</v>
      </c>
      <c r="H170" t="s">
        <v>21</v>
      </c>
      <c r="I170" t="s">
        <v>22</v>
      </c>
      <c r="J170">
        <v>4</v>
      </c>
      <c r="K170">
        <v>1</v>
      </c>
      <c r="L170" t="s">
        <v>23</v>
      </c>
      <c r="M170">
        <v>4</v>
      </c>
      <c r="N170">
        <v>6</v>
      </c>
      <c r="O170">
        <v>3</v>
      </c>
      <c r="P170">
        <v>1</v>
      </c>
      <c r="Q170" t="s">
        <v>27</v>
      </c>
    </row>
    <row r="171" spans="1:17" x14ac:dyDescent="0.3">
      <c r="A171" t="s">
        <v>216</v>
      </c>
      <c r="B171">
        <v>32</v>
      </c>
      <c r="C171" t="s">
        <v>18</v>
      </c>
      <c r="D171" t="s">
        <v>25</v>
      </c>
      <c r="E171" t="s">
        <v>61</v>
      </c>
      <c r="F171">
        <v>9650</v>
      </c>
      <c r="G171">
        <v>14</v>
      </c>
      <c r="H171" t="s">
        <v>21</v>
      </c>
      <c r="I171" t="s">
        <v>22</v>
      </c>
      <c r="J171">
        <v>4</v>
      </c>
      <c r="K171">
        <v>3</v>
      </c>
      <c r="L171" t="s">
        <v>27</v>
      </c>
      <c r="M171">
        <v>4</v>
      </c>
      <c r="N171">
        <v>18</v>
      </c>
      <c r="O171">
        <v>0</v>
      </c>
      <c r="P171">
        <v>1</v>
      </c>
      <c r="Q171" t="s">
        <v>27</v>
      </c>
    </row>
    <row r="172" spans="1:17" x14ac:dyDescent="0.3">
      <c r="A172" t="s">
        <v>217</v>
      </c>
      <c r="B172">
        <v>52</v>
      </c>
      <c r="C172" t="s">
        <v>18</v>
      </c>
      <c r="D172" t="s">
        <v>19</v>
      </c>
      <c r="E172" t="s">
        <v>40</v>
      </c>
      <c r="F172">
        <v>6938</v>
      </c>
      <c r="G172">
        <v>3</v>
      </c>
      <c r="H172" t="s">
        <v>21</v>
      </c>
      <c r="I172" t="s">
        <v>31</v>
      </c>
      <c r="J172">
        <v>4</v>
      </c>
      <c r="K172">
        <v>1</v>
      </c>
      <c r="L172" t="s">
        <v>27</v>
      </c>
      <c r="M172">
        <v>3</v>
      </c>
      <c r="N172">
        <v>29</v>
      </c>
      <c r="O172">
        <v>5</v>
      </c>
      <c r="P172">
        <v>1</v>
      </c>
      <c r="Q172" t="s">
        <v>23</v>
      </c>
    </row>
    <row r="173" spans="1:17" x14ac:dyDescent="0.3">
      <c r="A173" t="s">
        <v>218</v>
      </c>
      <c r="B173">
        <v>22</v>
      </c>
      <c r="C173" t="s">
        <v>35</v>
      </c>
      <c r="D173" t="s">
        <v>19</v>
      </c>
      <c r="E173" t="s">
        <v>40</v>
      </c>
      <c r="F173">
        <v>6829</v>
      </c>
      <c r="G173">
        <v>2</v>
      </c>
      <c r="H173" t="s">
        <v>21</v>
      </c>
      <c r="I173" t="s">
        <v>31</v>
      </c>
      <c r="J173">
        <v>2</v>
      </c>
      <c r="K173">
        <v>2</v>
      </c>
      <c r="L173" t="s">
        <v>23</v>
      </c>
      <c r="M173">
        <v>3</v>
      </c>
      <c r="N173">
        <v>17</v>
      </c>
      <c r="O173">
        <v>0</v>
      </c>
      <c r="P173">
        <v>1</v>
      </c>
      <c r="Q173" t="s">
        <v>23</v>
      </c>
    </row>
    <row r="174" spans="1:17" x14ac:dyDescent="0.3">
      <c r="A174" t="s">
        <v>219</v>
      </c>
      <c r="B174">
        <v>33</v>
      </c>
      <c r="C174" t="s">
        <v>35</v>
      </c>
      <c r="D174" t="s">
        <v>25</v>
      </c>
      <c r="E174" t="s">
        <v>61</v>
      </c>
      <c r="F174">
        <v>11287</v>
      </c>
      <c r="G174">
        <v>13</v>
      </c>
      <c r="H174" t="s">
        <v>37</v>
      </c>
      <c r="I174" t="s">
        <v>31</v>
      </c>
      <c r="J174">
        <v>1</v>
      </c>
      <c r="K174">
        <v>1</v>
      </c>
      <c r="L174" t="s">
        <v>27</v>
      </c>
      <c r="M174">
        <v>3</v>
      </c>
      <c r="N174">
        <v>8</v>
      </c>
      <c r="O174">
        <v>4</v>
      </c>
      <c r="P174">
        <v>1</v>
      </c>
      <c r="Q174" t="s">
        <v>27</v>
      </c>
    </row>
    <row r="175" spans="1:17" x14ac:dyDescent="0.3">
      <c r="A175" t="s">
        <v>220</v>
      </c>
      <c r="B175">
        <v>35</v>
      </c>
      <c r="C175" t="s">
        <v>18</v>
      </c>
      <c r="D175" t="s">
        <v>44</v>
      </c>
      <c r="E175" t="s">
        <v>54</v>
      </c>
      <c r="F175">
        <v>7643</v>
      </c>
      <c r="G175">
        <v>5</v>
      </c>
      <c r="H175" t="s">
        <v>21</v>
      </c>
      <c r="I175" t="s">
        <v>22</v>
      </c>
      <c r="J175">
        <v>2</v>
      </c>
      <c r="K175">
        <v>4</v>
      </c>
      <c r="L175" t="s">
        <v>27</v>
      </c>
      <c r="M175">
        <v>3</v>
      </c>
      <c r="N175">
        <v>18</v>
      </c>
      <c r="O175">
        <v>4</v>
      </c>
      <c r="P175">
        <v>3</v>
      </c>
      <c r="Q175" t="s">
        <v>27</v>
      </c>
    </row>
    <row r="176" spans="1:17" x14ac:dyDescent="0.3">
      <c r="A176" t="s">
        <v>221</v>
      </c>
      <c r="B176">
        <v>35</v>
      </c>
      <c r="C176" t="s">
        <v>35</v>
      </c>
      <c r="D176" t="s">
        <v>25</v>
      </c>
      <c r="E176" t="s">
        <v>26</v>
      </c>
      <c r="F176">
        <v>9545</v>
      </c>
      <c r="G176">
        <v>5</v>
      </c>
      <c r="H176" t="s">
        <v>21</v>
      </c>
      <c r="I176" t="s">
        <v>31</v>
      </c>
      <c r="J176">
        <v>2</v>
      </c>
      <c r="K176">
        <v>3</v>
      </c>
      <c r="L176" t="s">
        <v>27</v>
      </c>
      <c r="M176">
        <v>1</v>
      </c>
      <c r="N176">
        <v>18</v>
      </c>
      <c r="O176">
        <v>2</v>
      </c>
      <c r="P176">
        <v>2</v>
      </c>
      <c r="Q176" t="s">
        <v>27</v>
      </c>
    </row>
    <row r="177" spans="1:17" x14ac:dyDescent="0.3">
      <c r="A177" t="s">
        <v>222</v>
      </c>
      <c r="B177">
        <v>34</v>
      </c>
      <c r="C177" t="s">
        <v>35</v>
      </c>
      <c r="D177" t="s">
        <v>25</v>
      </c>
      <c r="E177" t="s">
        <v>20</v>
      </c>
      <c r="F177">
        <v>9659</v>
      </c>
      <c r="G177">
        <v>0</v>
      </c>
      <c r="H177" t="s">
        <v>37</v>
      </c>
      <c r="I177" t="s">
        <v>31</v>
      </c>
      <c r="J177">
        <v>1</v>
      </c>
      <c r="K177">
        <v>1</v>
      </c>
      <c r="L177" t="s">
        <v>27</v>
      </c>
      <c r="M177">
        <v>3</v>
      </c>
      <c r="N177">
        <v>1</v>
      </c>
      <c r="O177">
        <v>6</v>
      </c>
      <c r="P177">
        <v>1</v>
      </c>
      <c r="Q177" t="s">
        <v>27</v>
      </c>
    </row>
    <row r="178" spans="1:17" x14ac:dyDescent="0.3">
      <c r="A178" t="s">
        <v>223</v>
      </c>
      <c r="B178">
        <v>41</v>
      </c>
      <c r="C178" t="s">
        <v>18</v>
      </c>
      <c r="D178" t="s">
        <v>19</v>
      </c>
      <c r="E178" t="s">
        <v>36</v>
      </c>
      <c r="F178">
        <v>9518</v>
      </c>
      <c r="G178">
        <v>5</v>
      </c>
      <c r="H178" t="s">
        <v>21</v>
      </c>
      <c r="I178" t="s">
        <v>31</v>
      </c>
      <c r="J178">
        <v>2</v>
      </c>
      <c r="K178">
        <v>4</v>
      </c>
      <c r="L178" t="s">
        <v>27</v>
      </c>
      <c r="M178">
        <v>3</v>
      </c>
      <c r="N178">
        <v>21</v>
      </c>
      <c r="O178">
        <v>5</v>
      </c>
      <c r="P178">
        <v>2</v>
      </c>
      <c r="Q178" t="s">
        <v>27</v>
      </c>
    </row>
    <row r="179" spans="1:17" x14ac:dyDescent="0.3">
      <c r="A179" t="s">
        <v>224</v>
      </c>
      <c r="B179">
        <v>19</v>
      </c>
      <c r="C179" t="s">
        <v>35</v>
      </c>
      <c r="D179" t="s">
        <v>74</v>
      </c>
      <c r="E179" t="s">
        <v>20</v>
      </c>
      <c r="F179">
        <v>10202</v>
      </c>
      <c r="G179">
        <v>1</v>
      </c>
      <c r="H179" t="s">
        <v>21</v>
      </c>
      <c r="I179" t="s">
        <v>22</v>
      </c>
      <c r="J179">
        <v>2</v>
      </c>
      <c r="K179">
        <v>3</v>
      </c>
      <c r="L179" t="s">
        <v>27</v>
      </c>
      <c r="M179">
        <v>3</v>
      </c>
      <c r="N179">
        <v>1</v>
      </c>
      <c r="O179">
        <v>6</v>
      </c>
      <c r="P179">
        <v>2</v>
      </c>
      <c r="Q179" t="s">
        <v>27</v>
      </c>
    </row>
    <row r="180" spans="1:17" x14ac:dyDescent="0.3">
      <c r="A180" t="s">
        <v>225</v>
      </c>
      <c r="B180">
        <v>35</v>
      </c>
      <c r="C180" t="s">
        <v>35</v>
      </c>
      <c r="D180" t="s">
        <v>74</v>
      </c>
      <c r="E180" t="s">
        <v>20</v>
      </c>
      <c r="F180">
        <v>8091</v>
      </c>
      <c r="G180">
        <v>2</v>
      </c>
      <c r="H180" t="s">
        <v>37</v>
      </c>
      <c r="I180" t="s">
        <v>31</v>
      </c>
      <c r="J180">
        <v>3</v>
      </c>
      <c r="K180">
        <v>3</v>
      </c>
      <c r="L180" t="s">
        <v>27</v>
      </c>
      <c r="M180">
        <v>3</v>
      </c>
      <c r="N180">
        <v>11</v>
      </c>
      <c r="O180">
        <v>0</v>
      </c>
      <c r="P180">
        <v>1</v>
      </c>
      <c r="Q180" t="s">
        <v>27</v>
      </c>
    </row>
    <row r="181" spans="1:17" x14ac:dyDescent="0.3">
      <c r="A181" t="s">
        <v>226</v>
      </c>
      <c r="B181">
        <v>34</v>
      </c>
      <c r="C181" t="s">
        <v>35</v>
      </c>
      <c r="D181" t="s">
        <v>70</v>
      </c>
      <c r="E181" t="s">
        <v>144</v>
      </c>
      <c r="F181">
        <v>7252</v>
      </c>
      <c r="G181">
        <v>0</v>
      </c>
      <c r="H181" t="s">
        <v>37</v>
      </c>
      <c r="I181" t="s">
        <v>31</v>
      </c>
      <c r="J181">
        <v>2</v>
      </c>
      <c r="K181">
        <v>3</v>
      </c>
      <c r="L181" t="s">
        <v>23</v>
      </c>
      <c r="M181">
        <v>4</v>
      </c>
      <c r="N181">
        <v>27</v>
      </c>
      <c r="O181">
        <v>1</v>
      </c>
      <c r="P181">
        <v>3</v>
      </c>
      <c r="Q181" t="s">
        <v>23</v>
      </c>
    </row>
    <row r="182" spans="1:17" x14ac:dyDescent="0.3">
      <c r="A182" t="s">
        <v>227</v>
      </c>
      <c r="B182">
        <v>22</v>
      </c>
      <c r="C182" t="s">
        <v>18</v>
      </c>
      <c r="D182" t="s">
        <v>25</v>
      </c>
      <c r="E182" t="s">
        <v>61</v>
      </c>
      <c r="F182">
        <v>5234</v>
      </c>
      <c r="G182">
        <v>3</v>
      </c>
      <c r="H182" t="s">
        <v>46</v>
      </c>
      <c r="I182" t="s">
        <v>56</v>
      </c>
      <c r="J182">
        <v>2</v>
      </c>
      <c r="K182">
        <v>4</v>
      </c>
      <c r="L182" t="s">
        <v>27</v>
      </c>
      <c r="M182">
        <v>3</v>
      </c>
      <c r="N182">
        <v>29</v>
      </c>
      <c r="O182">
        <v>4</v>
      </c>
      <c r="P182">
        <v>3</v>
      </c>
      <c r="Q182" t="s">
        <v>27</v>
      </c>
    </row>
    <row r="183" spans="1:17" x14ac:dyDescent="0.3">
      <c r="A183" t="s">
        <v>228</v>
      </c>
      <c r="B183">
        <v>55</v>
      </c>
      <c r="C183" t="s">
        <v>35</v>
      </c>
      <c r="D183" t="s">
        <v>74</v>
      </c>
      <c r="E183" t="s">
        <v>20</v>
      </c>
      <c r="F183">
        <v>7749</v>
      </c>
      <c r="G183">
        <v>0</v>
      </c>
      <c r="H183" t="s">
        <v>37</v>
      </c>
      <c r="I183" t="s">
        <v>22</v>
      </c>
      <c r="J183">
        <v>1</v>
      </c>
      <c r="K183">
        <v>3</v>
      </c>
      <c r="L183" t="s">
        <v>27</v>
      </c>
      <c r="M183">
        <v>3</v>
      </c>
      <c r="N183">
        <v>2</v>
      </c>
      <c r="O183">
        <v>4</v>
      </c>
      <c r="P183">
        <v>3</v>
      </c>
      <c r="Q183" t="s">
        <v>27</v>
      </c>
    </row>
    <row r="184" spans="1:17" x14ac:dyDescent="0.3">
      <c r="A184" t="s">
        <v>229</v>
      </c>
      <c r="B184">
        <v>41</v>
      </c>
      <c r="C184" t="s">
        <v>18</v>
      </c>
      <c r="D184" t="s">
        <v>44</v>
      </c>
      <c r="E184" t="s">
        <v>54</v>
      </c>
      <c r="F184">
        <v>3215</v>
      </c>
      <c r="G184">
        <v>0</v>
      </c>
      <c r="H184" t="s">
        <v>21</v>
      </c>
      <c r="I184" t="s">
        <v>31</v>
      </c>
      <c r="J184">
        <v>3</v>
      </c>
      <c r="K184">
        <v>1</v>
      </c>
      <c r="L184" t="s">
        <v>27</v>
      </c>
      <c r="M184">
        <v>3</v>
      </c>
      <c r="N184">
        <v>19</v>
      </c>
      <c r="O184">
        <v>4</v>
      </c>
      <c r="P184">
        <v>1</v>
      </c>
      <c r="Q184" t="s">
        <v>27</v>
      </c>
    </row>
    <row r="185" spans="1:17" x14ac:dyDescent="0.3">
      <c r="A185" t="s">
        <v>230</v>
      </c>
      <c r="B185">
        <v>30</v>
      </c>
      <c r="C185" t="s">
        <v>35</v>
      </c>
      <c r="D185" t="s">
        <v>70</v>
      </c>
      <c r="E185" t="s">
        <v>71</v>
      </c>
      <c r="F185">
        <v>7659</v>
      </c>
      <c r="G185">
        <v>3</v>
      </c>
      <c r="H185" t="s">
        <v>21</v>
      </c>
      <c r="I185" t="s">
        <v>22</v>
      </c>
      <c r="J185">
        <v>4</v>
      </c>
      <c r="K185">
        <v>2</v>
      </c>
      <c r="L185" t="s">
        <v>23</v>
      </c>
      <c r="M185">
        <v>4</v>
      </c>
      <c r="N185">
        <v>21</v>
      </c>
      <c r="O185">
        <v>1</v>
      </c>
      <c r="P185">
        <v>3</v>
      </c>
      <c r="Q185" t="s">
        <v>27</v>
      </c>
    </row>
    <row r="186" spans="1:17" x14ac:dyDescent="0.3">
      <c r="A186" t="s">
        <v>231</v>
      </c>
      <c r="B186">
        <v>28</v>
      </c>
      <c r="C186" t="s">
        <v>18</v>
      </c>
      <c r="D186" t="s">
        <v>74</v>
      </c>
      <c r="E186" t="s">
        <v>75</v>
      </c>
      <c r="F186">
        <v>12571</v>
      </c>
      <c r="G186">
        <v>10</v>
      </c>
      <c r="H186" t="s">
        <v>37</v>
      </c>
      <c r="I186" t="s">
        <v>22</v>
      </c>
      <c r="J186">
        <v>4</v>
      </c>
      <c r="K186">
        <v>2</v>
      </c>
      <c r="L186" t="s">
        <v>23</v>
      </c>
      <c r="M186">
        <v>3</v>
      </c>
      <c r="N186">
        <v>16</v>
      </c>
      <c r="O186">
        <v>3</v>
      </c>
      <c r="P186">
        <v>4</v>
      </c>
      <c r="Q186" t="s">
        <v>27</v>
      </c>
    </row>
    <row r="187" spans="1:17" x14ac:dyDescent="0.3">
      <c r="A187" t="s">
        <v>232</v>
      </c>
      <c r="B187">
        <v>29</v>
      </c>
      <c r="C187" t="s">
        <v>35</v>
      </c>
      <c r="D187" t="s">
        <v>19</v>
      </c>
      <c r="E187" t="s">
        <v>40</v>
      </c>
      <c r="F187">
        <v>10323</v>
      </c>
      <c r="G187">
        <v>3</v>
      </c>
      <c r="H187" t="s">
        <v>21</v>
      </c>
      <c r="I187" t="s">
        <v>31</v>
      </c>
      <c r="J187">
        <v>1</v>
      </c>
      <c r="K187">
        <v>3</v>
      </c>
      <c r="L187" t="s">
        <v>27</v>
      </c>
      <c r="M187">
        <v>4</v>
      </c>
      <c r="N187">
        <v>14</v>
      </c>
      <c r="O187">
        <v>2</v>
      </c>
      <c r="P187">
        <v>2</v>
      </c>
      <c r="Q187" t="s">
        <v>27</v>
      </c>
    </row>
    <row r="188" spans="1:17" x14ac:dyDescent="0.3">
      <c r="A188" t="s">
        <v>233</v>
      </c>
      <c r="B188">
        <v>43</v>
      </c>
      <c r="C188" t="s">
        <v>35</v>
      </c>
      <c r="D188" t="s">
        <v>44</v>
      </c>
      <c r="E188" t="s">
        <v>45</v>
      </c>
      <c r="F188">
        <v>11081</v>
      </c>
      <c r="G188">
        <v>11</v>
      </c>
      <c r="H188" t="s">
        <v>46</v>
      </c>
      <c r="I188" t="s">
        <v>31</v>
      </c>
      <c r="J188">
        <v>3</v>
      </c>
      <c r="K188">
        <v>3</v>
      </c>
      <c r="L188" t="s">
        <v>27</v>
      </c>
      <c r="M188">
        <v>3</v>
      </c>
      <c r="N188">
        <v>13</v>
      </c>
      <c r="O188">
        <v>6</v>
      </c>
      <c r="P188">
        <v>2</v>
      </c>
      <c r="Q188" t="s">
        <v>27</v>
      </c>
    </row>
    <row r="189" spans="1:17" x14ac:dyDescent="0.3">
      <c r="A189" t="s">
        <v>234</v>
      </c>
      <c r="B189">
        <v>27</v>
      </c>
      <c r="C189" t="s">
        <v>35</v>
      </c>
      <c r="D189" t="s">
        <v>70</v>
      </c>
      <c r="E189" t="s">
        <v>144</v>
      </c>
      <c r="F189">
        <v>7682</v>
      </c>
      <c r="G189">
        <v>1</v>
      </c>
      <c r="H189" t="s">
        <v>33</v>
      </c>
      <c r="I189" t="s">
        <v>31</v>
      </c>
      <c r="J189">
        <v>4</v>
      </c>
      <c r="K189">
        <v>4</v>
      </c>
      <c r="L189" t="s">
        <v>27</v>
      </c>
      <c r="M189">
        <v>3</v>
      </c>
      <c r="N189">
        <v>24</v>
      </c>
      <c r="O189">
        <v>5</v>
      </c>
      <c r="P189">
        <v>1</v>
      </c>
      <c r="Q189" t="s">
        <v>27</v>
      </c>
    </row>
    <row r="190" spans="1:17" x14ac:dyDescent="0.3">
      <c r="A190" t="s">
        <v>235</v>
      </c>
      <c r="B190">
        <v>38</v>
      </c>
      <c r="C190" t="s">
        <v>18</v>
      </c>
      <c r="D190" t="s">
        <v>74</v>
      </c>
      <c r="E190" t="s">
        <v>75</v>
      </c>
      <c r="F190">
        <v>7788</v>
      </c>
      <c r="G190">
        <v>0</v>
      </c>
      <c r="H190" t="s">
        <v>37</v>
      </c>
      <c r="I190" t="s">
        <v>31</v>
      </c>
      <c r="J190">
        <v>4</v>
      </c>
      <c r="K190">
        <v>4</v>
      </c>
      <c r="L190" t="s">
        <v>27</v>
      </c>
      <c r="M190">
        <v>3</v>
      </c>
      <c r="N190">
        <v>1</v>
      </c>
      <c r="O190">
        <v>3</v>
      </c>
      <c r="P190">
        <v>3</v>
      </c>
      <c r="Q190" t="s">
        <v>27</v>
      </c>
    </row>
    <row r="191" spans="1:17" x14ac:dyDescent="0.3">
      <c r="A191" t="s">
        <v>236</v>
      </c>
      <c r="B191">
        <v>50</v>
      </c>
      <c r="C191" t="s">
        <v>18</v>
      </c>
      <c r="D191" t="s">
        <v>19</v>
      </c>
      <c r="E191" t="s">
        <v>36</v>
      </c>
      <c r="F191">
        <v>9712</v>
      </c>
      <c r="G191">
        <v>4</v>
      </c>
      <c r="H191" t="s">
        <v>21</v>
      </c>
      <c r="I191" t="s">
        <v>31</v>
      </c>
      <c r="J191">
        <v>4</v>
      </c>
      <c r="K191">
        <v>2</v>
      </c>
      <c r="L191" t="s">
        <v>23</v>
      </c>
      <c r="M191">
        <v>2</v>
      </c>
      <c r="N191">
        <v>6</v>
      </c>
      <c r="O191">
        <v>1</v>
      </c>
      <c r="P191">
        <v>4</v>
      </c>
      <c r="Q191" t="s">
        <v>23</v>
      </c>
    </row>
    <row r="192" spans="1:17" x14ac:dyDescent="0.3">
      <c r="A192" t="s">
        <v>237</v>
      </c>
      <c r="B192">
        <v>21</v>
      </c>
      <c r="C192" t="s">
        <v>35</v>
      </c>
      <c r="D192" t="s">
        <v>25</v>
      </c>
      <c r="E192" t="s">
        <v>26</v>
      </c>
      <c r="F192">
        <v>5577</v>
      </c>
      <c r="G192">
        <v>1</v>
      </c>
      <c r="H192" t="s">
        <v>37</v>
      </c>
      <c r="I192" t="s">
        <v>22</v>
      </c>
      <c r="J192">
        <v>3</v>
      </c>
      <c r="K192">
        <v>3</v>
      </c>
      <c r="L192" t="s">
        <v>27</v>
      </c>
      <c r="M192">
        <v>4</v>
      </c>
      <c r="N192">
        <v>30</v>
      </c>
      <c r="O192">
        <v>6</v>
      </c>
      <c r="P192">
        <v>3</v>
      </c>
      <c r="Q192" t="s">
        <v>23</v>
      </c>
    </row>
    <row r="193" spans="1:17" x14ac:dyDescent="0.3">
      <c r="A193" t="s">
        <v>238</v>
      </c>
      <c r="B193">
        <v>20</v>
      </c>
      <c r="C193" t="s">
        <v>18</v>
      </c>
      <c r="D193" t="s">
        <v>70</v>
      </c>
      <c r="E193" t="s">
        <v>20</v>
      </c>
      <c r="F193">
        <v>14065</v>
      </c>
      <c r="G193">
        <v>2</v>
      </c>
      <c r="H193" t="s">
        <v>46</v>
      </c>
      <c r="I193" t="s">
        <v>31</v>
      </c>
      <c r="J193">
        <v>2</v>
      </c>
      <c r="K193">
        <v>3</v>
      </c>
      <c r="L193" t="s">
        <v>27</v>
      </c>
      <c r="M193">
        <v>3</v>
      </c>
      <c r="N193">
        <v>30</v>
      </c>
      <c r="O193">
        <v>1</v>
      </c>
      <c r="P193">
        <v>2</v>
      </c>
      <c r="Q193" t="s">
        <v>27</v>
      </c>
    </row>
    <row r="194" spans="1:17" x14ac:dyDescent="0.3">
      <c r="A194" t="s">
        <v>239</v>
      </c>
      <c r="B194">
        <v>37</v>
      </c>
      <c r="C194" t="s">
        <v>18</v>
      </c>
      <c r="D194" t="s">
        <v>19</v>
      </c>
      <c r="E194" t="s">
        <v>36</v>
      </c>
      <c r="F194">
        <v>9209</v>
      </c>
      <c r="G194">
        <v>4</v>
      </c>
      <c r="H194" t="s">
        <v>37</v>
      </c>
      <c r="I194" t="s">
        <v>31</v>
      </c>
      <c r="J194">
        <v>3</v>
      </c>
      <c r="K194">
        <v>4</v>
      </c>
      <c r="L194" t="s">
        <v>23</v>
      </c>
      <c r="M194">
        <v>3</v>
      </c>
      <c r="N194">
        <v>18</v>
      </c>
      <c r="O194">
        <v>3</v>
      </c>
      <c r="P194">
        <v>3</v>
      </c>
      <c r="Q194" t="s">
        <v>27</v>
      </c>
    </row>
    <row r="195" spans="1:17" x14ac:dyDescent="0.3">
      <c r="A195" t="s">
        <v>240</v>
      </c>
      <c r="B195">
        <v>28</v>
      </c>
      <c r="C195" t="s">
        <v>18</v>
      </c>
      <c r="D195" t="s">
        <v>25</v>
      </c>
      <c r="E195" t="s">
        <v>61</v>
      </c>
      <c r="F195">
        <v>6977</v>
      </c>
      <c r="G195">
        <v>1</v>
      </c>
      <c r="H195" t="s">
        <v>37</v>
      </c>
      <c r="I195" t="s">
        <v>22</v>
      </c>
      <c r="J195">
        <v>2</v>
      </c>
      <c r="K195">
        <v>1</v>
      </c>
      <c r="L195" t="s">
        <v>23</v>
      </c>
      <c r="M195">
        <v>3</v>
      </c>
      <c r="N195">
        <v>9</v>
      </c>
      <c r="O195">
        <v>5</v>
      </c>
      <c r="P195">
        <v>1</v>
      </c>
      <c r="Q195" t="s">
        <v>27</v>
      </c>
    </row>
    <row r="196" spans="1:17" x14ac:dyDescent="0.3">
      <c r="A196" t="s">
        <v>241</v>
      </c>
      <c r="B196">
        <v>30</v>
      </c>
      <c r="C196" t="s">
        <v>18</v>
      </c>
      <c r="D196" t="s">
        <v>19</v>
      </c>
      <c r="E196" t="s">
        <v>40</v>
      </c>
      <c r="F196">
        <v>11223</v>
      </c>
      <c r="G196">
        <v>7</v>
      </c>
      <c r="H196" t="s">
        <v>46</v>
      </c>
      <c r="I196" t="s">
        <v>31</v>
      </c>
      <c r="J196">
        <v>3</v>
      </c>
      <c r="K196">
        <v>3</v>
      </c>
      <c r="L196" t="s">
        <v>27</v>
      </c>
      <c r="M196">
        <v>4</v>
      </c>
      <c r="N196">
        <v>16</v>
      </c>
      <c r="O196">
        <v>3</v>
      </c>
      <c r="P196">
        <v>3</v>
      </c>
      <c r="Q196" t="s">
        <v>27</v>
      </c>
    </row>
    <row r="197" spans="1:17" x14ac:dyDescent="0.3">
      <c r="A197" t="s">
        <v>242</v>
      </c>
      <c r="B197">
        <v>27</v>
      </c>
      <c r="C197" t="s">
        <v>18</v>
      </c>
      <c r="D197" t="s">
        <v>44</v>
      </c>
      <c r="E197" t="s">
        <v>54</v>
      </c>
      <c r="F197">
        <v>7688</v>
      </c>
      <c r="G197">
        <v>1</v>
      </c>
      <c r="H197" t="s">
        <v>37</v>
      </c>
      <c r="I197" t="s">
        <v>31</v>
      </c>
      <c r="J197">
        <v>3</v>
      </c>
      <c r="K197">
        <v>1</v>
      </c>
      <c r="L197" t="s">
        <v>23</v>
      </c>
      <c r="M197">
        <v>3</v>
      </c>
      <c r="N197">
        <v>11</v>
      </c>
      <c r="O197">
        <v>0</v>
      </c>
      <c r="P197">
        <v>4</v>
      </c>
      <c r="Q197" t="s">
        <v>27</v>
      </c>
    </row>
    <row r="198" spans="1:17" x14ac:dyDescent="0.3">
      <c r="A198" t="s">
        <v>243</v>
      </c>
      <c r="B198">
        <v>33</v>
      </c>
      <c r="C198" t="s">
        <v>35</v>
      </c>
      <c r="D198" t="s">
        <v>70</v>
      </c>
      <c r="E198" t="s">
        <v>20</v>
      </c>
      <c r="F198">
        <v>10153</v>
      </c>
      <c r="G198">
        <v>2</v>
      </c>
      <c r="H198" t="s">
        <v>21</v>
      </c>
      <c r="I198" t="s">
        <v>31</v>
      </c>
      <c r="J198">
        <v>4</v>
      </c>
      <c r="K198">
        <v>1</v>
      </c>
      <c r="L198" t="s">
        <v>27</v>
      </c>
      <c r="M198">
        <v>2</v>
      </c>
      <c r="N198">
        <v>14</v>
      </c>
      <c r="O198">
        <v>2</v>
      </c>
      <c r="P198">
        <v>4</v>
      </c>
      <c r="Q198" t="s">
        <v>23</v>
      </c>
    </row>
    <row r="199" spans="1:17" x14ac:dyDescent="0.3">
      <c r="A199" t="s">
        <v>244</v>
      </c>
      <c r="B199">
        <v>38</v>
      </c>
      <c r="C199" t="s">
        <v>18</v>
      </c>
      <c r="D199" t="s">
        <v>74</v>
      </c>
      <c r="E199" t="s">
        <v>20</v>
      </c>
      <c r="F199">
        <v>10300</v>
      </c>
      <c r="G199">
        <v>3</v>
      </c>
      <c r="H199" t="s">
        <v>21</v>
      </c>
      <c r="I199" t="s">
        <v>31</v>
      </c>
      <c r="J199">
        <v>4</v>
      </c>
      <c r="K199">
        <v>2</v>
      </c>
      <c r="L199" t="s">
        <v>23</v>
      </c>
      <c r="M199">
        <v>3</v>
      </c>
      <c r="N199">
        <v>13</v>
      </c>
      <c r="O199">
        <v>4</v>
      </c>
      <c r="P199">
        <v>2</v>
      </c>
      <c r="Q199" t="s">
        <v>27</v>
      </c>
    </row>
    <row r="200" spans="1:17" x14ac:dyDescent="0.3">
      <c r="A200" t="s">
        <v>245</v>
      </c>
      <c r="B200">
        <v>46</v>
      </c>
      <c r="C200" t="s">
        <v>35</v>
      </c>
      <c r="D200" t="s">
        <v>19</v>
      </c>
      <c r="E200" t="s">
        <v>36</v>
      </c>
      <c r="F200">
        <v>5579</v>
      </c>
      <c r="G200">
        <v>1</v>
      </c>
      <c r="H200" t="s">
        <v>37</v>
      </c>
      <c r="I200" t="s">
        <v>31</v>
      </c>
      <c r="J200">
        <v>4</v>
      </c>
      <c r="K200">
        <v>1</v>
      </c>
      <c r="L200" t="s">
        <v>27</v>
      </c>
      <c r="M200">
        <v>3</v>
      </c>
      <c r="N200">
        <v>25</v>
      </c>
      <c r="O200">
        <v>0</v>
      </c>
      <c r="P200">
        <v>2</v>
      </c>
      <c r="Q200" t="s">
        <v>27</v>
      </c>
    </row>
    <row r="201" spans="1:17" x14ac:dyDescent="0.3">
      <c r="A201" t="s">
        <v>246</v>
      </c>
      <c r="B201">
        <v>32</v>
      </c>
      <c r="C201" t="s">
        <v>18</v>
      </c>
      <c r="D201" t="s">
        <v>25</v>
      </c>
      <c r="E201" t="s">
        <v>26</v>
      </c>
      <c r="F201">
        <v>6060</v>
      </c>
      <c r="G201">
        <v>3</v>
      </c>
      <c r="H201" t="s">
        <v>37</v>
      </c>
      <c r="I201" t="s">
        <v>31</v>
      </c>
      <c r="J201">
        <v>3</v>
      </c>
      <c r="K201">
        <v>2</v>
      </c>
      <c r="L201" t="s">
        <v>27</v>
      </c>
      <c r="M201">
        <v>3</v>
      </c>
      <c r="N201">
        <v>24</v>
      </c>
      <c r="O201">
        <v>4</v>
      </c>
      <c r="P201">
        <v>3</v>
      </c>
      <c r="Q201" t="s">
        <v>27</v>
      </c>
    </row>
    <row r="202" spans="1:17" x14ac:dyDescent="0.3">
      <c r="A202" t="s">
        <v>247</v>
      </c>
      <c r="B202">
        <v>34</v>
      </c>
      <c r="C202" t="s">
        <v>35</v>
      </c>
      <c r="D202" t="s">
        <v>19</v>
      </c>
      <c r="E202" t="s">
        <v>36</v>
      </c>
      <c r="F202">
        <v>16485</v>
      </c>
      <c r="G202">
        <v>16</v>
      </c>
      <c r="H202" t="s">
        <v>46</v>
      </c>
      <c r="I202" t="s">
        <v>22</v>
      </c>
      <c r="J202">
        <v>3</v>
      </c>
      <c r="K202">
        <v>2</v>
      </c>
      <c r="L202" t="s">
        <v>23</v>
      </c>
      <c r="M202">
        <v>3</v>
      </c>
      <c r="N202">
        <v>30</v>
      </c>
      <c r="O202">
        <v>0</v>
      </c>
      <c r="P202">
        <v>2</v>
      </c>
      <c r="Q202" t="s">
        <v>27</v>
      </c>
    </row>
    <row r="203" spans="1:17" x14ac:dyDescent="0.3">
      <c r="A203" t="s">
        <v>248</v>
      </c>
      <c r="B203">
        <v>24</v>
      </c>
      <c r="C203" t="s">
        <v>18</v>
      </c>
      <c r="D203" t="s">
        <v>74</v>
      </c>
      <c r="E203" t="s">
        <v>75</v>
      </c>
      <c r="F203">
        <v>3858</v>
      </c>
      <c r="G203">
        <v>0</v>
      </c>
      <c r="H203" t="s">
        <v>21</v>
      </c>
      <c r="I203" t="s">
        <v>31</v>
      </c>
      <c r="J203">
        <v>3</v>
      </c>
      <c r="K203">
        <v>1</v>
      </c>
      <c r="L203" t="s">
        <v>27</v>
      </c>
      <c r="M203">
        <v>4</v>
      </c>
      <c r="N203">
        <v>15</v>
      </c>
      <c r="O203">
        <v>2</v>
      </c>
      <c r="P203">
        <v>1</v>
      </c>
      <c r="Q203" t="s">
        <v>27</v>
      </c>
    </row>
    <row r="204" spans="1:17" x14ac:dyDescent="0.3">
      <c r="A204" t="s">
        <v>249</v>
      </c>
      <c r="B204">
        <v>30</v>
      </c>
      <c r="C204" t="s">
        <v>18</v>
      </c>
      <c r="D204" t="s">
        <v>19</v>
      </c>
      <c r="E204" t="s">
        <v>40</v>
      </c>
      <c r="F204">
        <v>6626</v>
      </c>
      <c r="G204">
        <v>1</v>
      </c>
      <c r="H204" t="s">
        <v>33</v>
      </c>
      <c r="I204" t="s">
        <v>31</v>
      </c>
      <c r="J204">
        <v>2</v>
      </c>
      <c r="K204">
        <v>2</v>
      </c>
      <c r="L204" t="s">
        <v>27</v>
      </c>
      <c r="M204">
        <v>3</v>
      </c>
      <c r="N204">
        <v>23</v>
      </c>
      <c r="O204">
        <v>3</v>
      </c>
      <c r="P204">
        <v>2</v>
      </c>
      <c r="Q204" t="s">
        <v>27</v>
      </c>
    </row>
    <row r="205" spans="1:17" x14ac:dyDescent="0.3">
      <c r="A205" t="s">
        <v>250</v>
      </c>
      <c r="B205">
        <v>23</v>
      </c>
      <c r="C205" t="s">
        <v>18</v>
      </c>
      <c r="D205" t="s">
        <v>44</v>
      </c>
      <c r="E205" t="s">
        <v>45</v>
      </c>
      <c r="F205">
        <v>5840</v>
      </c>
      <c r="G205">
        <v>1</v>
      </c>
      <c r="H205" t="s">
        <v>21</v>
      </c>
      <c r="I205" t="s">
        <v>31</v>
      </c>
      <c r="J205">
        <v>2</v>
      </c>
      <c r="K205">
        <v>1</v>
      </c>
      <c r="L205" t="s">
        <v>27</v>
      </c>
      <c r="M205">
        <v>3</v>
      </c>
      <c r="N205">
        <v>13</v>
      </c>
      <c r="O205">
        <v>2</v>
      </c>
      <c r="P205">
        <v>3</v>
      </c>
      <c r="Q205" t="s">
        <v>27</v>
      </c>
    </row>
    <row r="206" spans="1:17" x14ac:dyDescent="0.3">
      <c r="A206" t="s">
        <v>251</v>
      </c>
      <c r="B206">
        <v>39</v>
      </c>
      <c r="C206" t="s">
        <v>18</v>
      </c>
      <c r="D206" t="s">
        <v>70</v>
      </c>
      <c r="E206" t="s">
        <v>71</v>
      </c>
      <c r="F206">
        <v>6523</v>
      </c>
      <c r="G206">
        <v>1</v>
      </c>
      <c r="H206" t="s">
        <v>21</v>
      </c>
      <c r="I206" t="s">
        <v>31</v>
      </c>
      <c r="J206">
        <v>4</v>
      </c>
      <c r="K206">
        <v>1</v>
      </c>
      <c r="L206" t="s">
        <v>27</v>
      </c>
      <c r="M206">
        <v>3</v>
      </c>
      <c r="N206">
        <v>18</v>
      </c>
      <c r="O206">
        <v>1</v>
      </c>
      <c r="P206">
        <v>1</v>
      </c>
      <c r="Q206" t="s">
        <v>27</v>
      </c>
    </row>
    <row r="207" spans="1:17" x14ac:dyDescent="0.3">
      <c r="A207" t="s">
        <v>252</v>
      </c>
      <c r="B207">
        <v>21</v>
      </c>
      <c r="C207" t="s">
        <v>18</v>
      </c>
      <c r="D207" t="s">
        <v>25</v>
      </c>
      <c r="E207" t="s">
        <v>20</v>
      </c>
      <c r="F207">
        <v>12682</v>
      </c>
      <c r="G207">
        <v>3</v>
      </c>
      <c r="H207" t="s">
        <v>37</v>
      </c>
      <c r="I207" t="s">
        <v>22</v>
      </c>
      <c r="J207">
        <v>1</v>
      </c>
      <c r="K207">
        <v>2</v>
      </c>
      <c r="L207" t="s">
        <v>23</v>
      </c>
      <c r="M207">
        <v>3</v>
      </c>
      <c r="N207">
        <v>22</v>
      </c>
      <c r="O207">
        <v>5</v>
      </c>
      <c r="P207">
        <v>2</v>
      </c>
      <c r="Q207" t="s">
        <v>27</v>
      </c>
    </row>
    <row r="208" spans="1:17" x14ac:dyDescent="0.3">
      <c r="A208" t="s">
        <v>253</v>
      </c>
      <c r="B208">
        <v>37</v>
      </c>
      <c r="C208" t="s">
        <v>18</v>
      </c>
      <c r="D208" t="s">
        <v>25</v>
      </c>
      <c r="E208" t="s">
        <v>26</v>
      </c>
      <c r="F208">
        <v>7617</v>
      </c>
      <c r="G208">
        <v>1</v>
      </c>
      <c r="H208" t="s">
        <v>37</v>
      </c>
      <c r="I208" t="s">
        <v>31</v>
      </c>
      <c r="J208">
        <v>2</v>
      </c>
      <c r="K208">
        <v>1</v>
      </c>
      <c r="L208" t="s">
        <v>23</v>
      </c>
      <c r="M208">
        <v>4</v>
      </c>
      <c r="N208">
        <v>16</v>
      </c>
      <c r="O208">
        <v>2</v>
      </c>
      <c r="P208">
        <v>2</v>
      </c>
      <c r="Q208" t="s">
        <v>27</v>
      </c>
    </row>
    <row r="209" spans="1:17" x14ac:dyDescent="0.3">
      <c r="A209" t="s">
        <v>254</v>
      </c>
      <c r="B209">
        <v>35</v>
      </c>
      <c r="C209" t="s">
        <v>18</v>
      </c>
      <c r="D209" t="s">
        <v>70</v>
      </c>
      <c r="E209" t="s">
        <v>71</v>
      </c>
      <c r="F209">
        <v>7024</v>
      </c>
      <c r="G209">
        <v>1</v>
      </c>
      <c r="H209" t="s">
        <v>21</v>
      </c>
      <c r="I209" t="s">
        <v>22</v>
      </c>
      <c r="J209">
        <v>3</v>
      </c>
      <c r="K209">
        <v>1</v>
      </c>
      <c r="L209" t="s">
        <v>27</v>
      </c>
      <c r="M209">
        <v>4</v>
      </c>
      <c r="N209">
        <v>11</v>
      </c>
      <c r="O209">
        <v>2</v>
      </c>
      <c r="P209">
        <v>1</v>
      </c>
      <c r="Q209" t="s">
        <v>27</v>
      </c>
    </row>
    <row r="210" spans="1:17" x14ac:dyDescent="0.3">
      <c r="A210" t="s">
        <v>255</v>
      </c>
      <c r="B210">
        <v>39</v>
      </c>
      <c r="C210" t="s">
        <v>18</v>
      </c>
      <c r="D210" t="s">
        <v>29</v>
      </c>
      <c r="E210" t="s">
        <v>30</v>
      </c>
      <c r="F210">
        <v>6422</v>
      </c>
      <c r="G210">
        <v>5</v>
      </c>
      <c r="H210" t="s">
        <v>37</v>
      </c>
      <c r="I210" t="s">
        <v>56</v>
      </c>
      <c r="J210">
        <v>3</v>
      </c>
      <c r="K210">
        <v>4</v>
      </c>
      <c r="L210" t="s">
        <v>27</v>
      </c>
      <c r="M210">
        <v>3</v>
      </c>
      <c r="N210">
        <v>22</v>
      </c>
      <c r="O210">
        <v>3</v>
      </c>
      <c r="P210">
        <v>1</v>
      </c>
      <c r="Q210" t="s">
        <v>27</v>
      </c>
    </row>
    <row r="211" spans="1:17" x14ac:dyDescent="0.3">
      <c r="A211" t="s">
        <v>256</v>
      </c>
      <c r="B211">
        <v>28</v>
      </c>
      <c r="C211" t="s">
        <v>35</v>
      </c>
      <c r="D211" t="s">
        <v>25</v>
      </c>
      <c r="E211" t="s">
        <v>61</v>
      </c>
      <c r="F211">
        <v>8598</v>
      </c>
      <c r="G211">
        <v>9</v>
      </c>
      <c r="H211" t="s">
        <v>46</v>
      </c>
      <c r="I211" t="s">
        <v>22</v>
      </c>
      <c r="J211">
        <v>4</v>
      </c>
      <c r="K211">
        <v>4</v>
      </c>
      <c r="L211" t="s">
        <v>23</v>
      </c>
      <c r="M211">
        <v>3</v>
      </c>
      <c r="N211">
        <v>25</v>
      </c>
      <c r="O211">
        <v>4</v>
      </c>
      <c r="P211">
        <v>3</v>
      </c>
      <c r="Q211" t="s">
        <v>27</v>
      </c>
    </row>
    <row r="212" spans="1:17" x14ac:dyDescent="0.3">
      <c r="A212" t="s">
        <v>257</v>
      </c>
      <c r="B212">
        <v>28</v>
      </c>
      <c r="C212" t="s">
        <v>35</v>
      </c>
      <c r="D212" t="s">
        <v>19</v>
      </c>
      <c r="E212" t="s">
        <v>20</v>
      </c>
      <c r="F212">
        <v>14278</v>
      </c>
      <c r="G212">
        <v>2</v>
      </c>
      <c r="H212" t="s">
        <v>37</v>
      </c>
      <c r="I212" t="s">
        <v>31</v>
      </c>
      <c r="J212">
        <v>1</v>
      </c>
      <c r="K212">
        <v>2</v>
      </c>
      <c r="L212" t="s">
        <v>27</v>
      </c>
      <c r="M212">
        <v>4</v>
      </c>
      <c r="N212">
        <v>27</v>
      </c>
      <c r="O212">
        <v>1</v>
      </c>
      <c r="P212">
        <v>2</v>
      </c>
      <c r="Q212" t="s">
        <v>27</v>
      </c>
    </row>
    <row r="213" spans="1:17" x14ac:dyDescent="0.3">
      <c r="A213" t="s">
        <v>258</v>
      </c>
      <c r="B213">
        <v>28</v>
      </c>
      <c r="C213" t="s">
        <v>18</v>
      </c>
      <c r="D213" t="s">
        <v>19</v>
      </c>
      <c r="E213" t="s">
        <v>36</v>
      </c>
      <c r="F213">
        <v>9924</v>
      </c>
      <c r="G213">
        <v>10</v>
      </c>
      <c r="H213" t="s">
        <v>21</v>
      </c>
      <c r="I213" t="s">
        <v>22</v>
      </c>
      <c r="J213">
        <v>4</v>
      </c>
      <c r="K213">
        <v>3</v>
      </c>
      <c r="L213" t="s">
        <v>27</v>
      </c>
      <c r="M213">
        <v>2</v>
      </c>
      <c r="N213">
        <v>9</v>
      </c>
      <c r="O213">
        <v>4</v>
      </c>
      <c r="P213">
        <v>2</v>
      </c>
      <c r="Q213" t="s">
        <v>27</v>
      </c>
    </row>
    <row r="214" spans="1:17" x14ac:dyDescent="0.3">
      <c r="A214" t="s">
        <v>259</v>
      </c>
      <c r="B214">
        <v>49</v>
      </c>
      <c r="C214" t="s">
        <v>35</v>
      </c>
      <c r="D214" t="s">
        <v>44</v>
      </c>
      <c r="E214" t="s">
        <v>54</v>
      </c>
      <c r="F214">
        <v>5034</v>
      </c>
      <c r="G214">
        <v>3</v>
      </c>
      <c r="H214" t="s">
        <v>37</v>
      </c>
      <c r="I214" t="s">
        <v>31</v>
      </c>
      <c r="J214">
        <v>2</v>
      </c>
      <c r="K214">
        <v>3</v>
      </c>
      <c r="L214" t="s">
        <v>27</v>
      </c>
      <c r="M214">
        <v>3</v>
      </c>
      <c r="N214">
        <v>15</v>
      </c>
      <c r="O214">
        <v>6</v>
      </c>
      <c r="P214">
        <v>3</v>
      </c>
      <c r="Q214" t="s">
        <v>27</v>
      </c>
    </row>
    <row r="215" spans="1:17" x14ac:dyDescent="0.3">
      <c r="A215" t="s">
        <v>260</v>
      </c>
      <c r="B215">
        <v>37</v>
      </c>
      <c r="C215" t="s">
        <v>35</v>
      </c>
      <c r="D215" t="s">
        <v>29</v>
      </c>
      <c r="E215" t="s">
        <v>49</v>
      </c>
      <c r="F215">
        <v>4564</v>
      </c>
      <c r="G215">
        <v>1</v>
      </c>
      <c r="H215" t="s">
        <v>37</v>
      </c>
      <c r="I215" t="s">
        <v>31</v>
      </c>
      <c r="J215">
        <v>3</v>
      </c>
      <c r="K215">
        <v>4</v>
      </c>
      <c r="L215" t="s">
        <v>27</v>
      </c>
      <c r="M215">
        <v>2</v>
      </c>
      <c r="N215">
        <v>25</v>
      </c>
      <c r="O215">
        <v>2</v>
      </c>
      <c r="P215">
        <v>4</v>
      </c>
      <c r="Q215" t="s">
        <v>27</v>
      </c>
    </row>
    <row r="216" spans="1:17" x14ac:dyDescent="0.3">
      <c r="A216" t="s">
        <v>261</v>
      </c>
      <c r="B216">
        <v>43</v>
      </c>
      <c r="C216" t="s">
        <v>35</v>
      </c>
      <c r="D216" t="s">
        <v>74</v>
      </c>
      <c r="E216" t="s">
        <v>99</v>
      </c>
      <c r="F216">
        <v>7722</v>
      </c>
      <c r="G216">
        <v>7</v>
      </c>
      <c r="H216" t="s">
        <v>46</v>
      </c>
      <c r="I216" t="s">
        <v>22</v>
      </c>
      <c r="J216">
        <v>2</v>
      </c>
      <c r="K216">
        <v>4</v>
      </c>
      <c r="L216" t="s">
        <v>23</v>
      </c>
      <c r="M216">
        <v>4</v>
      </c>
      <c r="N216">
        <v>23</v>
      </c>
      <c r="O216">
        <v>4</v>
      </c>
      <c r="P216">
        <v>4</v>
      </c>
      <c r="Q216" t="s">
        <v>27</v>
      </c>
    </row>
    <row r="217" spans="1:17" x14ac:dyDescent="0.3">
      <c r="A217" t="s">
        <v>262</v>
      </c>
      <c r="B217">
        <v>39</v>
      </c>
      <c r="C217" t="s">
        <v>18</v>
      </c>
      <c r="D217" t="s">
        <v>74</v>
      </c>
      <c r="E217" t="s">
        <v>75</v>
      </c>
      <c r="F217">
        <v>1894</v>
      </c>
      <c r="G217">
        <v>0</v>
      </c>
      <c r="H217" t="s">
        <v>21</v>
      </c>
      <c r="I217" t="s">
        <v>56</v>
      </c>
      <c r="J217">
        <v>2</v>
      </c>
      <c r="K217">
        <v>4</v>
      </c>
      <c r="L217" t="s">
        <v>23</v>
      </c>
      <c r="M217">
        <v>3</v>
      </c>
      <c r="N217">
        <v>29</v>
      </c>
      <c r="O217">
        <v>3</v>
      </c>
      <c r="P217">
        <v>3</v>
      </c>
      <c r="Q217" t="s">
        <v>27</v>
      </c>
    </row>
    <row r="218" spans="1:17" x14ac:dyDescent="0.3">
      <c r="A218" t="s">
        <v>263</v>
      </c>
      <c r="B218">
        <v>39</v>
      </c>
      <c r="C218" t="s">
        <v>18</v>
      </c>
      <c r="D218" t="s">
        <v>25</v>
      </c>
      <c r="E218" t="s">
        <v>61</v>
      </c>
      <c r="F218">
        <v>8232</v>
      </c>
      <c r="G218">
        <v>2</v>
      </c>
      <c r="H218" t="s">
        <v>21</v>
      </c>
      <c r="I218" t="s">
        <v>31</v>
      </c>
      <c r="J218">
        <v>2</v>
      </c>
      <c r="K218">
        <v>2</v>
      </c>
      <c r="L218" t="s">
        <v>27</v>
      </c>
      <c r="M218">
        <v>3</v>
      </c>
      <c r="N218">
        <v>27</v>
      </c>
      <c r="O218">
        <v>2</v>
      </c>
      <c r="P218">
        <v>2</v>
      </c>
      <c r="Q218" t="s">
        <v>27</v>
      </c>
    </row>
    <row r="219" spans="1:17" x14ac:dyDescent="0.3">
      <c r="A219" t="s">
        <v>264</v>
      </c>
      <c r="B219">
        <v>45</v>
      </c>
      <c r="C219" t="s">
        <v>35</v>
      </c>
      <c r="D219" t="s">
        <v>44</v>
      </c>
      <c r="E219" t="s">
        <v>54</v>
      </c>
      <c r="F219">
        <v>5653</v>
      </c>
      <c r="G219">
        <v>5</v>
      </c>
      <c r="H219" t="s">
        <v>33</v>
      </c>
      <c r="I219" t="s">
        <v>22</v>
      </c>
      <c r="J219">
        <v>3</v>
      </c>
      <c r="K219">
        <v>3</v>
      </c>
      <c r="L219" t="s">
        <v>27</v>
      </c>
      <c r="M219">
        <v>3</v>
      </c>
      <c r="N219">
        <v>27</v>
      </c>
      <c r="O219">
        <v>1</v>
      </c>
      <c r="P219">
        <v>3</v>
      </c>
      <c r="Q219" t="s">
        <v>27</v>
      </c>
    </row>
    <row r="220" spans="1:17" x14ac:dyDescent="0.3">
      <c r="A220" t="s">
        <v>265</v>
      </c>
      <c r="B220">
        <v>42</v>
      </c>
      <c r="C220" t="s">
        <v>18</v>
      </c>
      <c r="D220" t="s">
        <v>19</v>
      </c>
      <c r="E220" t="s">
        <v>36</v>
      </c>
      <c r="F220">
        <v>7853</v>
      </c>
      <c r="G220">
        <v>7</v>
      </c>
      <c r="H220" t="s">
        <v>21</v>
      </c>
      <c r="I220" t="s">
        <v>31</v>
      </c>
      <c r="J220">
        <v>2</v>
      </c>
      <c r="K220">
        <v>1</v>
      </c>
      <c r="L220" t="s">
        <v>27</v>
      </c>
      <c r="M220">
        <v>3</v>
      </c>
      <c r="N220">
        <v>4</v>
      </c>
      <c r="O220">
        <v>0</v>
      </c>
      <c r="P220">
        <v>1</v>
      </c>
      <c r="Q220" t="s">
        <v>27</v>
      </c>
    </row>
    <row r="221" spans="1:17" x14ac:dyDescent="0.3">
      <c r="A221" t="s">
        <v>266</v>
      </c>
      <c r="B221">
        <v>42</v>
      </c>
      <c r="C221" t="s">
        <v>35</v>
      </c>
      <c r="D221" t="s">
        <v>19</v>
      </c>
      <c r="E221" t="s">
        <v>20</v>
      </c>
      <c r="F221">
        <v>16713</v>
      </c>
      <c r="G221">
        <v>9</v>
      </c>
      <c r="H221" t="s">
        <v>21</v>
      </c>
      <c r="I221" t="s">
        <v>31</v>
      </c>
      <c r="J221">
        <v>1</v>
      </c>
      <c r="K221">
        <v>2</v>
      </c>
      <c r="L221" t="s">
        <v>27</v>
      </c>
      <c r="M221">
        <v>2</v>
      </c>
      <c r="N221">
        <v>13</v>
      </c>
      <c r="O221">
        <v>5</v>
      </c>
      <c r="P221">
        <v>2</v>
      </c>
      <c r="Q221" t="s">
        <v>27</v>
      </c>
    </row>
    <row r="222" spans="1:17" x14ac:dyDescent="0.3">
      <c r="A222" t="s">
        <v>267</v>
      </c>
      <c r="B222">
        <v>33</v>
      </c>
      <c r="C222" t="s">
        <v>35</v>
      </c>
      <c r="D222" t="s">
        <v>74</v>
      </c>
      <c r="E222" t="s">
        <v>99</v>
      </c>
      <c r="F222">
        <v>8603</v>
      </c>
      <c r="G222">
        <v>2</v>
      </c>
      <c r="H222" t="s">
        <v>46</v>
      </c>
      <c r="I222" t="s">
        <v>31</v>
      </c>
      <c r="J222">
        <v>3</v>
      </c>
      <c r="K222">
        <v>4</v>
      </c>
      <c r="L222" t="s">
        <v>27</v>
      </c>
      <c r="M222">
        <v>3</v>
      </c>
      <c r="N222">
        <v>18</v>
      </c>
      <c r="O222">
        <v>0</v>
      </c>
      <c r="P222">
        <v>3</v>
      </c>
      <c r="Q222" t="s">
        <v>27</v>
      </c>
    </row>
    <row r="223" spans="1:17" x14ac:dyDescent="0.3">
      <c r="A223" t="s">
        <v>268</v>
      </c>
      <c r="B223">
        <v>40</v>
      </c>
      <c r="C223" t="s">
        <v>18</v>
      </c>
      <c r="D223" t="s">
        <v>44</v>
      </c>
      <c r="E223" t="s">
        <v>45</v>
      </c>
      <c r="F223">
        <v>8297</v>
      </c>
      <c r="G223">
        <v>8</v>
      </c>
      <c r="H223" t="s">
        <v>37</v>
      </c>
      <c r="I223" t="s">
        <v>31</v>
      </c>
      <c r="J223">
        <v>1</v>
      </c>
      <c r="K223">
        <v>1</v>
      </c>
      <c r="L223" t="s">
        <v>27</v>
      </c>
      <c r="M223">
        <v>1</v>
      </c>
      <c r="N223">
        <v>1</v>
      </c>
      <c r="O223">
        <v>4</v>
      </c>
      <c r="P223">
        <v>3</v>
      </c>
      <c r="Q223" t="s">
        <v>27</v>
      </c>
    </row>
    <row r="224" spans="1:17" x14ac:dyDescent="0.3">
      <c r="A224" t="s">
        <v>269</v>
      </c>
      <c r="B224">
        <v>30</v>
      </c>
      <c r="C224" t="s">
        <v>18</v>
      </c>
      <c r="D224" t="s">
        <v>29</v>
      </c>
      <c r="E224" t="s">
        <v>49</v>
      </c>
      <c r="F224">
        <v>5397</v>
      </c>
      <c r="G224">
        <v>1</v>
      </c>
      <c r="H224" t="s">
        <v>21</v>
      </c>
      <c r="I224" t="s">
        <v>56</v>
      </c>
      <c r="J224">
        <v>4</v>
      </c>
      <c r="K224">
        <v>2</v>
      </c>
      <c r="L224" t="s">
        <v>27</v>
      </c>
      <c r="M224">
        <v>3</v>
      </c>
      <c r="N224">
        <v>7</v>
      </c>
      <c r="O224">
        <v>5</v>
      </c>
      <c r="P224">
        <v>4</v>
      </c>
      <c r="Q224" t="s">
        <v>27</v>
      </c>
    </row>
    <row r="225" spans="1:17" x14ac:dyDescent="0.3">
      <c r="A225" t="s">
        <v>270</v>
      </c>
      <c r="B225">
        <v>34</v>
      </c>
      <c r="C225" t="s">
        <v>35</v>
      </c>
      <c r="D225" t="s">
        <v>25</v>
      </c>
      <c r="E225" t="s">
        <v>61</v>
      </c>
      <c r="F225">
        <v>5798</v>
      </c>
      <c r="G225">
        <v>1</v>
      </c>
      <c r="H225" t="s">
        <v>46</v>
      </c>
      <c r="I225" t="s">
        <v>31</v>
      </c>
      <c r="J225">
        <v>3</v>
      </c>
      <c r="K225">
        <v>1</v>
      </c>
      <c r="L225" t="s">
        <v>27</v>
      </c>
      <c r="M225">
        <v>3</v>
      </c>
      <c r="N225">
        <v>1</v>
      </c>
      <c r="O225">
        <v>4</v>
      </c>
      <c r="P225">
        <v>1</v>
      </c>
      <c r="Q225" t="s">
        <v>27</v>
      </c>
    </row>
    <row r="226" spans="1:17" x14ac:dyDescent="0.3">
      <c r="A226" t="s">
        <v>271</v>
      </c>
      <c r="B226">
        <v>25</v>
      </c>
      <c r="C226" t="s">
        <v>35</v>
      </c>
      <c r="D226" t="s">
        <v>19</v>
      </c>
      <c r="E226" t="s">
        <v>40</v>
      </c>
      <c r="F226">
        <v>8724</v>
      </c>
      <c r="G226">
        <v>0</v>
      </c>
      <c r="H226" t="s">
        <v>37</v>
      </c>
      <c r="I226" t="s">
        <v>31</v>
      </c>
      <c r="J226">
        <v>3</v>
      </c>
      <c r="K226">
        <v>3</v>
      </c>
      <c r="L226" t="s">
        <v>27</v>
      </c>
      <c r="M226">
        <v>3</v>
      </c>
      <c r="N226">
        <v>22</v>
      </c>
      <c r="O226">
        <v>6</v>
      </c>
      <c r="P226">
        <v>3</v>
      </c>
      <c r="Q226" t="s">
        <v>27</v>
      </c>
    </row>
    <row r="227" spans="1:17" x14ac:dyDescent="0.3">
      <c r="A227" t="s">
        <v>272</v>
      </c>
      <c r="B227">
        <v>29</v>
      </c>
      <c r="C227" t="s">
        <v>35</v>
      </c>
      <c r="D227" t="s">
        <v>25</v>
      </c>
      <c r="E227" t="s">
        <v>26</v>
      </c>
      <c r="F227">
        <v>8446</v>
      </c>
      <c r="G227">
        <v>11</v>
      </c>
      <c r="H227" t="s">
        <v>21</v>
      </c>
      <c r="I227" t="s">
        <v>31</v>
      </c>
      <c r="J227">
        <v>2</v>
      </c>
      <c r="K227">
        <v>2</v>
      </c>
      <c r="L227" t="s">
        <v>27</v>
      </c>
      <c r="M227">
        <v>2</v>
      </c>
      <c r="N227">
        <v>6</v>
      </c>
      <c r="O227">
        <v>1</v>
      </c>
      <c r="P227">
        <v>1</v>
      </c>
      <c r="Q227" t="s">
        <v>27</v>
      </c>
    </row>
    <row r="228" spans="1:17" x14ac:dyDescent="0.3">
      <c r="A228" t="s">
        <v>273</v>
      </c>
      <c r="B228">
        <v>22</v>
      </c>
      <c r="C228" t="s">
        <v>35</v>
      </c>
      <c r="D228" t="s">
        <v>19</v>
      </c>
      <c r="E228" t="s">
        <v>40</v>
      </c>
      <c r="F228">
        <v>5779</v>
      </c>
      <c r="G228">
        <v>1</v>
      </c>
      <c r="H228" t="s">
        <v>46</v>
      </c>
      <c r="I228" t="s">
        <v>22</v>
      </c>
      <c r="J228">
        <v>1</v>
      </c>
      <c r="K228">
        <v>3</v>
      </c>
      <c r="L228" t="s">
        <v>23</v>
      </c>
      <c r="M228">
        <v>3</v>
      </c>
      <c r="N228">
        <v>10</v>
      </c>
      <c r="O228">
        <v>5</v>
      </c>
      <c r="P228">
        <v>2</v>
      </c>
      <c r="Q228" t="s">
        <v>23</v>
      </c>
    </row>
    <row r="229" spans="1:17" x14ac:dyDescent="0.3">
      <c r="A229" t="s">
        <v>274</v>
      </c>
      <c r="B229">
        <v>35</v>
      </c>
      <c r="C229" t="s">
        <v>35</v>
      </c>
      <c r="D229" t="s">
        <v>44</v>
      </c>
      <c r="E229" t="s">
        <v>45</v>
      </c>
      <c r="F229">
        <v>6837</v>
      </c>
      <c r="G229">
        <v>4</v>
      </c>
      <c r="H229" t="s">
        <v>21</v>
      </c>
      <c r="I229" t="s">
        <v>31</v>
      </c>
      <c r="J229">
        <v>3</v>
      </c>
      <c r="K229">
        <v>2</v>
      </c>
      <c r="L229" t="s">
        <v>23</v>
      </c>
      <c r="M229">
        <v>1</v>
      </c>
      <c r="N229">
        <v>3</v>
      </c>
      <c r="O229">
        <v>5</v>
      </c>
      <c r="P229">
        <v>3</v>
      </c>
      <c r="Q229" t="s">
        <v>27</v>
      </c>
    </row>
    <row r="230" spans="1:17" x14ac:dyDescent="0.3">
      <c r="A230" t="s">
        <v>275</v>
      </c>
      <c r="B230">
        <v>42</v>
      </c>
      <c r="C230" t="s">
        <v>18</v>
      </c>
      <c r="D230" t="s">
        <v>19</v>
      </c>
      <c r="E230" t="s">
        <v>40</v>
      </c>
      <c r="F230">
        <v>13288</v>
      </c>
      <c r="G230">
        <v>14</v>
      </c>
      <c r="H230" t="s">
        <v>37</v>
      </c>
      <c r="I230" t="s">
        <v>31</v>
      </c>
      <c r="J230">
        <v>2</v>
      </c>
      <c r="K230">
        <v>1</v>
      </c>
      <c r="L230" t="s">
        <v>23</v>
      </c>
      <c r="M230">
        <v>4</v>
      </c>
      <c r="N230">
        <v>22</v>
      </c>
      <c r="O230">
        <v>2</v>
      </c>
      <c r="P230">
        <v>4</v>
      </c>
      <c r="Q230" t="s">
        <v>23</v>
      </c>
    </row>
    <row r="231" spans="1:17" x14ac:dyDescent="0.3">
      <c r="A231" t="s">
        <v>276</v>
      </c>
      <c r="B231">
        <v>34</v>
      </c>
      <c r="C231" t="s">
        <v>18</v>
      </c>
      <c r="D231" t="s">
        <v>70</v>
      </c>
      <c r="E231" t="s">
        <v>71</v>
      </c>
      <c r="F231">
        <v>6489</v>
      </c>
      <c r="G231">
        <v>1</v>
      </c>
      <c r="H231" t="s">
        <v>33</v>
      </c>
      <c r="I231" t="s">
        <v>22</v>
      </c>
      <c r="J231">
        <v>4</v>
      </c>
      <c r="K231">
        <v>3</v>
      </c>
      <c r="L231" t="s">
        <v>27</v>
      </c>
      <c r="M231">
        <v>3</v>
      </c>
      <c r="N231">
        <v>13</v>
      </c>
      <c r="O231">
        <v>5</v>
      </c>
      <c r="P231">
        <v>2</v>
      </c>
      <c r="Q231" t="s">
        <v>27</v>
      </c>
    </row>
    <row r="232" spans="1:17" x14ac:dyDescent="0.3">
      <c r="A232" t="s">
        <v>277</v>
      </c>
      <c r="B232">
        <v>35</v>
      </c>
      <c r="C232" t="s">
        <v>18</v>
      </c>
      <c r="D232" t="s">
        <v>25</v>
      </c>
      <c r="E232" t="s">
        <v>26</v>
      </c>
      <c r="F232">
        <v>11234</v>
      </c>
      <c r="G232">
        <v>12</v>
      </c>
      <c r="H232" t="s">
        <v>21</v>
      </c>
      <c r="I232" t="s">
        <v>31</v>
      </c>
      <c r="J232">
        <v>4</v>
      </c>
      <c r="K232">
        <v>3</v>
      </c>
      <c r="L232" t="s">
        <v>23</v>
      </c>
      <c r="M232">
        <v>3</v>
      </c>
      <c r="N232">
        <v>9</v>
      </c>
      <c r="O232">
        <v>2</v>
      </c>
      <c r="P232">
        <v>2</v>
      </c>
      <c r="Q232" t="s">
        <v>27</v>
      </c>
    </row>
    <row r="233" spans="1:17" x14ac:dyDescent="0.3">
      <c r="A233" t="s">
        <v>278</v>
      </c>
      <c r="B233">
        <v>36</v>
      </c>
      <c r="C233" t="s">
        <v>18</v>
      </c>
      <c r="D233" t="s">
        <v>19</v>
      </c>
      <c r="E233" t="s">
        <v>36</v>
      </c>
      <c r="F233">
        <v>7522</v>
      </c>
      <c r="G233">
        <v>0</v>
      </c>
      <c r="H233" t="s">
        <v>21</v>
      </c>
      <c r="I233" t="s">
        <v>31</v>
      </c>
      <c r="J233">
        <v>3</v>
      </c>
      <c r="K233">
        <v>1</v>
      </c>
      <c r="L233" t="s">
        <v>23</v>
      </c>
      <c r="M233">
        <v>3</v>
      </c>
      <c r="N233">
        <v>16</v>
      </c>
      <c r="O233">
        <v>1</v>
      </c>
      <c r="P233">
        <v>4</v>
      </c>
      <c r="Q233" t="s">
        <v>27</v>
      </c>
    </row>
    <row r="234" spans="1:17" x14ac:dyDescent="0.3">
      <c r="A234" t="s">
        <v>279</v>
      </c>
      <c r="B234">
        <v>37</v>
      </c>
      <c r="C234" t="s">
        <v>18</v>
      </c>
      <c r="D234" t="s">
        <v>70</v>
      </c>
      <c r="E234" t="s">
        <v>71</v>
      </c>
      <c r="F234">
        <v>13199</v>
      </c>
      <c r="G234">
        <v>13</v>
      </c>
      <c r="H234" t="s">
        <v>46</v>
      </c>
      <c r="I234" t="s">
        <v>22</v>
      </c>
      <c r="J234">
        <v>1</v>
      </c>
      <c r="K234">
        <v>4</v>
      </c>
      <c r="L234" t="s">
        <v>23</v>
      </c>
      <c r="M234">
        <v>3</v>
      </c>
      <c r="N234">
        <v>1</v>
      </c>
      <c r="O234">
        <v>6</v>
      </c>
      <c r="P234">
        <v>4</v>
      </c>
      <c r="Q234" t="s">
        <v>27</v>
      </c>
    </row>
    <row r="235" spans="1:17" x14ac:dyDescent="0.3">
      <c r="A235" t="s">
        <v>280</v>
      </c>
      <c r="B235">
        <v>20</v>
      </c>
      <c r="C235" t="s">
        <v>35</v>
      </c>
      <c r="D235" t="s">
        <v>44</v>
      </c>
      <c r="E235" t="s">
        <v>54</v>
      </c>
      <c r="F235">
        <v>7912</v>
      </c>
      <c r="G235">
        <v>2</v>
      </c>
      <c r="H235" t="s">
        <v>21</v>
      </c>
      <c r="I235" t="s">
        <v>31</v>
      </c>
      <c r="J235">
        <v>2</v>
      </c>
      <c r="K235">
        <v>1</v>
      </c>
      <c r="L235" t="s">
        <v>27</v>
      </c>
      <c r="M235">
        <v>3</v>
      </c>
      <c r="N235">
        <v>21</v>
      </c>
      <c r="O235">
        <v>1</v>
      </c>
      <c r="P235">
        <v>1</v>
      </c>
      <c r="Q235" t="s">
        <v>27</v>
      </c>
    </row>
    <row r="236" spans="1:17" x14ac:dyDescent="0.3">
      <c r="A236" t="s">
        <v>281</v>
      </c>
      <c r="B236">
        <v>29</v>
      </c>
      <c r="C236" t="s">
        <v>18</v>
      </c>
      <c r="D236" t="s">
        <v>19</v>
      </c>
      <c r="E236" t="s">
        <v>36</v>
      </c>
      <c r="F236">
        <v>8947</v>
      </c>
      <c r="G236">
        <v>2</v>
      </c>
      <c r="H236" t="s">
        <v>46</v>
      </c>
      <c r="I236" t="s">
        <v>31</v>
      </c>
      <c r="J236">
        <v>1</v>
      </c>
      <c r="K236">
        <v>1</v>
      </c>
      <c r="L236" t="s">
        <v>27</v>
      </c>
      <c r="M236">
        <v>3</v>
      </c>
      <c r="N236">
        <v>29</v>
      </c>
      <c r="O236">
        <v>2</v>
      </c>
      <c r="P236">
        <v>2</v>
      </c>
      <c r="Q236" t="s">
        <v>23</v>
      </c>
    </row>
    <row r="237" spans="1:17" x14ac:dyDescent="0.3">
      <c r="A237" t="s">
        <v>282</v>
      </c>
      <c r="B237">
        <v>28</v>
      </c>
      <c r="C237" t="s">
        <v>35</v>
      </c>
      <c r="D237" t="s">
        <v>19</v>
      </c>
      <c r="E237" t="s">
        <v>36</v>
      </c>
      <c r="F237">
        <v>5613</v>
      </c>
      <c r="G237">
        <v>0</v>
      </c>
      <c r="H237" t="s">
        <v>46</v>
      </c>
      <c r="I237" t="s">
        <v>22</v>
      </c>
      <c r="J237">
        <v>1</v>
      </c>
      <c r="K237">
        <v>1</v>
      </c>
      <c r="L237" t="s">
        <v>23</v>
      </c>
      <c r="M237">
        <v>3</v>
      </c>
      <c r="N237">
        <v>7</v>
      </c>
      <c r="O237">
        <v>2</v>
      </c>
      <c r="P237">
        <v>1</v>
      </c>
      <c r="Q237" t="s">
        <v>27</v>
      </c>
    </row>
    <row r="238" spans="1:17" x14ac:dyDescent="0.3">
      <c r="A238" t="s">
        <v>283</v>
      </c>
      <c r="B238">
        <v>57</v>
      </c>
      <c r="C238" t="s">
        <v>35</v>
      </c>
      <c r="D238" t="s">
        <v>19</v>
      </c>
      <c r="E238" t="s">
        <v>40</v>
      </c>
      <c r="F238">
        <v>9640</v>
      </c>
      <c r="G238">
        <v>2</v>
      </c>
      <c r="H238" t="s">
        <v>37</v>
      </c>
      <c r="I238" t="s">
        <v>22</v>
      </c>
      <c r="J238">
        <v>3</v>
      </c>
      <c r="K238">
        <v>2</v>
      </c>
      <c r="L238" t="s">
        <v>27</v>
      </c>
      <c r="M238">
        <v>3</v>
      </c>
      <c r="N238">
        <v>23</v>
      </c>
      <c r="O238">
        <v>5</v>
      </c>
      <c r="P238">
        <v>4</v>
      </c>
      <c r="Q238" t="s">
        <v>27</v>
      </c>
    </row>
    <row r="239" spans="1:17" x14ac:dyDescent="0.3">
      <c r="A239" t="s">
        <v>284</v>
      </c>
      <c r="B239">
        <v>42</v>
      </c>
      <c r="C239" t="s">
        <v>18</v>
      </c>
      <c r="D239" t="s">
        <v>29</v>
      </c>
      <c r="E239" t="s">
        <v>20</v>
      </c>
      <c r="F239">
        <v>8497</v>
      </c>
      <c r="G239">
        <v>3</v>
      </c>
      <c r="H239" t="s">
        <v>37</v>
      </c>
      <c r="I239" t="s">
        <v>31</v>
      </c>
      <c r="J239">
        <v>2</v>
      </c>
      <c r="K239">
        <v>1</v>
      </c>
      <c r="L239" t="s">
        <v>27</v>
      </c>
      <c r="M239">
        <v>3</v>
      </c>
      <c r="N239">
        <v>17</v>
      </c>
      <c r="O239">
        <v>3</v>
      </c>
      <c r="P239">
        <v>3</v>
      </c>
      <c r="Q239" t="s">
        <v>27</v>
      </c>
    </row>
    <row r="240" spans="1:17" x14ac:dyDescent="0.3">
      <c r="A240" t="s">
        <v>285</v>
      </c>
      <c r="B240">
        <v>38</v>
      </c>
      <c r="C240" t="s">
        <v>18</v>
      </c>
      <c r="D240" t="s">
        <v>25</v>
      </c>
      <c r="E240" t="s">
        <v>61</v>
      </c>
      <c r="F240">
        <v>5296</v>
      </c>
      <c r="G240">
        <v>1</v>
      </c>
      <c r="H240" t="s">
        <v>37</v>
      </c>
      <c r="I240" t="s">
        <v>22</v>
      </c>
      <c r="J240">
        <v>3</v>
      </c>
      <c r="K240">
        <v>1</v>
      </c>
      <c r="L240" t="s">
        <v>23</v>
      </c>
      <c r="M240">
        <v>1</v>
      </c>
      <c r="N240">
        <v>2</v>
      </c>
      <c r="O240">
        <v>4</v>
      </c>
      <c r="P240">
        <v>2</v>
      </c>
      <c r="Q240" t="s">
        <v>27</v>
      </c>
    </row>
    <row r="241" spans="1:17" x14ac:dyDescent="0.3">
      <c r="A241" t="s">
        <v>286</v>
      </c>
      <c r="B241">
        <v>31</v>
      </c>
      <c r="C241" t="s">
        <v>35</v>
      </c>
      <c r="D241" t="s">
        <v>25</v>
      </c>
      <c r="E241" t="s">
        <v>26</v>
      </c>
      <c r="F241">
        <v>8164</v>
      </c>
      <c r="G241">
        <v>2</v>
      </c>
      <c r="H241" t="s">
        <v>37</v>
      </c>
      <c r="I241" t="s">
        <v>22</v>
      </c>
      <c r="J241">
        <v>4</v>
      </c>
      <c r="K241">
        <v>3</v>
      </c>
      <c r="L241" t="s">
        <v>23</v>
      </c>
      <c r="M241">
        <v>3</v>
      </c>
      <c r="N241">
        <v>28</v>
      </c>
      <c r="O241">
        <v>2</v>
      </c>
      <c r="P241">
        <v>2</v>
      </c>
      <c r="Q241" t="s">
        <v>27</v>
      </c>
    </row>
    <row r="242" spans="1:17" x14ac:dyDescent="0.3">
      <c r="A242" t="s">
        <v>287</v>
      </c>
      <c r="B242">
        <v>42</v>
      </c>
      <c r="C242" t="s">
        <v>18</v>
      </c>
      <c r="D242" t="s">
        <v>25</v>
      </c>
      <c r="E242" t="s">
        <v>20</v>
      </c>
      <c r="F242">
        <v>15659</v>
      </c>
      <c r="G242">
        <v>2</v>
      </c>
      <c r="H242" t="s">
        <v>37</v>
      </c>
      <c r="I242" t="s">
        <v>56</v>
      </c>
      <c r="J242">
        <v>2</v>
      </c>
      <c r="K242">
        <v>1</v>
      </c>
      <c r="L242" t="s">
        <v>27</v>
      </c>
      <c r="M242">
        <v>3</v>
      </c>
      <c r="N242">
        <v>15</v>
      </c>
      <c r="O242">
        <v>1</v>
      </c>
      <c r="P242">
        <v>1</v>
      </c>
      <c r="Q242" t="s">
        <v>27</v>
      </c>
    </row>
    <row r="243" spans="1:17" x14ac:dyDescent="0.3">
      <c r="A243" t="s">
        <v>288</v>
      </c>
      <c r="B243">
        <v>36</v>
      </c>
      <c r="C243" t="s">
        <v>35</v>
      </c>
      <c r="D243" t="s">
        <v>70</v>
      </c>
      <c r="E243" t="s">
        <v>71</v>
      </c>
      <c r="F243">
        <v>4849</v>
      </c>
      <c r="G243">
        <v>0</v>
      </c>
      <c r="H243" t="s">
        <v>37</v>
      </c>
      <c r="I243" t="s">
        <v>31</v>
      </c>
      <c r="J243">
        <v>1</v>
      </c>
      <c r="K243">
        <v>3</v>
      </c>
      <c r="L243" t="s">
        <v>23</v>
      </c>
      <c r="M243">
        <v>3</v>
      </c>
      <c r="N243">
        <v>7</v>
      </c>
      <c r="O243">
        <v>4</v>
      </c>
      <c r="P243">
        <v>1</v>
      </c>
      <c r="Q243" t="s">
        <v>27</v>
      </c>
    </row>
    <row r="244" spans="1:17" x14ac:dyDescent="0.3">
      <c r="A244" t="s">
        <v>289</v>
      </c>
      <c r="B244">
        <v>54</v>
      </c>
      <c r="C244" t="s">
        <v>35</v>
      </c>
      <c r="D244" t="s">
        <v>19</v>
      </c>
      <c r="E244" t="s">
        <v>40</v>
      </c>
      <c r="F244">
        <v>6298</v>
      </c>
      <c r="G244">
        <v>4</v>
      </c>
      <c r="H244" t="s">
        <v>21</v>
      </c>
      <c r="I244" t="s">
        <v>31</v>
      </c>
      <c r="J244">
        <v>4</v>
      </c>
      <c r="K244">
        <v>2</v>
      </c>
      <c r="L244" t="s">
        <v>23</v>
      </c>
      <c r="M244">
        <v>1</v>
      </c>
      <c r="N244">
        <v>28</v>
      </c>
      <c r="O244">
        <v>0</v>
      </c>
      <c r="P244">
        <v>4</v>
      </c>
      <c r="Q244" t="s">
        <v>27</v>
      </c>
    </row>
    <row r="245" spans="1:17" x14ac:dyDescent="0.3">
      <c r="A245" t="s">
        <v>290</v>
      </c>
      <c r="B245">
        <v>32</v>
      </c>
      <c r="C245" t="s">
        <v>18</v>
      </c>
      <c r="D245" t="s">
        <v>29</v>
      </c>
      <c r="E245" t="s">
        <v>49</v>
      </c>
      <c r="F245">
        <v>9524</v>
      </c>
      <c r="G245">
        <v>1</v>
      </c>
      <c r="H245" t="s">
        <v>21</v>
      </c>
      <c r="I245" t="s">
        <v>22</v>
      </c>
      <c r="J245">
        <v>2</v>
      </c>
      <c r="K245">
        <v>1</v>
      </c>
      <c r="L245" t="s">
        <v>27</v>
      </c>
      <c r="M245">
        <v>3</v>
      </c>
      <c r="N245">
        <v>21</v>
      </c>
      <c r="O245">
        <v>5</v>
      </c>
      <c r="P245">
        <v>2</v>
      </c>
      <c r="Q245" t="s">
        <v>27</v>
      </c>
    </row>
    <row r="246" spans="1:17" x14ac:dyDescent="0.3">
      <c r="A246" t="s">
        <v>291</v>
      </c>
      <c r="B246">
        <v>40</v>
      </c>
      <c r="C246" t="s">
        <v>18</v>
      </c>
      <c r="D246" t="s">
        <v>25</v>
      </c>
      <c r="E246" t="s">
        <v>20</v>
      </c>
      <c r="F246">
        <v>14605</v>
      </c>
      <c r="G246">
        <v>17</v>
      </c>
      <c r="H246" t="s">
        <v>33</v>
      </c>
      <c r="I246" t="s">
        <v>31</v>
      </c>
      <c r="J246">
        <v>4</v>
      </c>
      <c r="K246">
        <v>4</v>
      </c>
      <c r="L246" t="s">
        <v>27</v>
      </c>
      <c r="M246">
        <v>2</v>
      </c>
      <c r="N246">
        <v>2</v>
      </c>
      <c r="O246">
        <v>4</v>
      </c>
      <c r="P246">
        <v>1</v>
      </c>
      <c r="Q246" t="s">
        <v>27</v>
      </c>
    </row>
    <row r="247" spans="1:17" x14ac:dyDescent="0.3">
      <c r="A247" t="s">
        <v>292</v>
      </c>
      <c r="B247">
        <v>23</v>
      </c>
      <c r="C247" t="s">
        <v>18</v>
      </c>
      <c r="D247" t="s">
        <v>19</v>
      </c>
      <c r="E247" t="s">
        <v>40</v>
      </c>
      <c r="F247">
        <v>3852</v>
      </c>
      <c r="G247">
        <v>0</v>
      </c>
      <c r="H247" t="s">
        <v>37</v>
      </c>
      <c r="I247" t="s">
        <v>31</v>
      </c>
      <c r="J247">
        <v>2</v>
      </c>
      <c r="K247">
        <v>4</v>
      </c>
      <c r="L247" t="s">
        <v>27</v>
      </c>
      <c r="M247">
        <v>3</v>
      </c>
      <c r="N247">
        <v>26</v>
      </c>
      <c r="O247">
        <v>6</v>
      </c>
      <c r="P247">
        <v>3</v>
      </c>
      <c r="Q247" t="s">
        <v>27</v>
      </c>
    </row>
    <row r="248" spans="1:17" x14ac:dyDescent="0.3">
      <c r="A248" t="s">
        <v>293</v>
      </c>
      <c r="B248">
        <v>38</v>
      </c>
      <c r="C248" t="s">
        <v>18</v>
      </c>
      <c r="D248" t="s">
        <v>29</v>
      </c>
      <c r="E248" t="s">
        <v>49</v>
      </c>
      <c r="F248">
        <v>9053</v>
      </c>
      <c r="G248">
        <v>3</v>
      </c>
      <c r="H248" t="s">
        <v>21</v>
      </c>
      <c r="I248" t="s">
        <v>22</v>
      </c>
      <c r="J248">
        <v>1</v>
      </c>
      <c r="K248">
        <v>4</v>
      </c>
      <c r="L248" t="s">
        <v>27</v>
      </c>
      <c r="M248">
        <v>3</v>
      </c>
      <c r="N248">
        <v>5</v>
      </c>
      <c r="O248">
        <v>4</v>
      </c>
      <c r="P248">
        <v>2</v>
      </c>
      <c r="Q248" t="s">
        <v>27</v>
      </c>
    </row>
    <row r="249" spans="1:17" x14ac:dyDescent="0.3">
      <c r="A249" t="s">
        <v>294</v>
      </c>
      <c r="B249">
        <v>46</v>
      </c>
      <c r="C249" t="s">
        <v>18</v>
      </c>
      <c r="D249" t="s">
        <v>25</v>
      </c>
      <c r="E249" t="s">
        <v>61</v>
      </c>
      <c r="F249">
        <v>5417</v>
      </c>
      <c r="G249">
        <v>2</v>
      </c>
      <c r="H249" t="s">
        <v>37</v>
      </c>
      <c r="I249" t="s">
        <v>31</v>
      </c>
      <c r="J249">
        <v>2</v>
      </c>
      <c r="K249">
        <v>1</v>
      </c>
      <c r="L249" t="s">
        <v>23</v>
      </c>
      <c r="M249">
        <v>3</v>
      </c>
      <c r="N249">
        <v>3</v>
      </c>
      <c r="O249">
        <v>4</v>
      </c>
      <c r="P249">
        <v>4</v>
      </c>
      <c r="Q249" t="s">
        <v>27</v>
      </c>
    </row>
    <row r="250" spans="1:17" x14ac:dyDescent="0.3">
      <c r="A250" t="s">
        <v>295</v>
      </c>
      <c r="B250">
        <v>26</v>
      </c>
      <c r="C250" t="s">
        <v>35</v>
      </c>
      <c r="D250" t="s">
        <v>25</v>
      </c>
      <c r="E250" t="s">
        <v>26</v>
      </c>
      <c r="F250">
        <v>8629</v>
      </c>
      <c r="G250">
        <v>1</v>
      </c>
      <c r="H250" t="s">
        <v>37</v>
      </c>
      <c r="I250" t="s">
        <v>22</v>
      </c>
      <c r="J250">
        <v>3</v>
      </c>
      <c r="K250">
        <v>1</v>
      </c>
      <c r="L250" t="s">
        <v>23</v>
      </c>
      <c r="M250">
        <v>2</v>
      </c>
      <c r="N250">
        <v>30</v>
      </c>
      <c r="O250">
        <v>5</v>
      </c>
      <c r="P250">
        <v>4</v>
      </c>
      <c r="Q250" t="s">
        <v>27</v>
      </c>
    </row>
    <row r="251" spans="1:17" x14ac:dyDescent="0.3">
      <c r="A251" t="s">
        <v>296</v>
      </c>
      <c r="B251">
        <v>38</v>
      </c>
      <c r="C251" t="s">
        <v>18</v>
      </c>
      <c r="D251" t="s">
        <v>74</v>
      </c>
      <c r="E251" t="s">
        <v>75</v>
      </c>
      <c r="F251">
        <v>11505</v>
      </c>
      <c r="G251">
        <v>7</v>
      </c>
      <c r="H251" t="s">
        <v>37</v>
      </c>
      <c r="I251" t="s">
        <v>22</v>
      </c>
      <c r="J251">
        <v>4</v>
      </c>
      <c r="K251">
        <v>2</v>
      </c>
      <c r="L251" t="s">
        <v>27</v>
      </c>
      <c r="M251">
        <v>3</v>
      </c>
      <c r="N251">
        <v>6</v>
      </c>
      <c r="O251">
        <v>2</v>
      </c>
      <c r="P251">
        <v>2</v>
      </c>
      <c r="Q251" t="s">
        <v>27</v>
      </c>
    </row>
    <row r="252" spans="1:17" x14ac:dyDescent="0.3">
      <c r="A252" t="s">
        <v>297</v>
      </c>
      <c r="B252">
        <v>21</v>
      </c>
      <c r="C252" t="s">
        <v>18</v>
      </c>
      <c r="D252" t="s">
        <v>74</v>
      </c>
      <c r="E252" t="s">
        <v>75</v>
      </c>
      <c r="F252">
        <v>8962</v>
      </c>
      <c r="G252">
        <v>3</v>
      </c>
      <c r="H252" t="s">
        <v>37</v>
      </c>
      <c r="I252" t="s">
        <v>22</v>
      </c>
      <c r="J252">
        <v>3</v>
      </c>
      <c r="K252">
        <v>3</v>
      </c>
      <c r="L252" t="s">
        <v>27</v>
      </c>
      <c r="M252">
        <v>3</v>
      </c>
      <c r="N252">
        <v>6</v>
      </c>
      <c r="O252">
        <v>3</v>
      </c>
      <c r="P252">
        <v>2</v>
      </c>
      <c r="Q252" t="s">
        <v>27</v>
      </c>
    </row>
    <row r="253" spans="1:17" x14ac:dyDescent="0.3">
      <c r="A253" t="s">
        <v>298</v>
      </c>
      <c r="B253">
        <v>41</v>
      </c>
      <c r="C253" t="s">
        <v>35</v>
      </c>
      <c r="D253" t="s">
        <v>19</v>
      </c>
      <c r="E253" t="s">
        <v>40</v>
      </c>
      <c r="F253">
        <v>9732</v>
      </c>
      <c r="G253">
        <v>8</v>
      </c>
      <c r="H253" t="s">
        <v>21</v>
      </c>
      <c r="I253" t="s">
        <v>56</v>
      </c>
      <c r="J253">
        <v>4</v>
      </c>
      <c r="K253">
        <v>4</v>
      </c>
      <c r="L253" t="s">
        <v>27</v>
      </c>
      <c r="M253">
        <v>3</v>
      </c>
      <c r="N253">
        <v>25</v>
      </c>
      <c r="O253">
        <v>5</v>
      </c>
      <c r="P253">
        <v>3</v>
      </c>
      <c r="Q253" t="s">
        <v>27</v>
      </c>
    </row>
    <row r="254" spans="1:17" x14ac:dyDescent="0.3">
      <c r="A254" t="s">
        <v>299</v>
      </c>
      <c r="B254">
        <v>37</v>
      </c>
      <c r="C254" t="s">
        <v>35</v>
      </c>
      <c r="D254" t="s">
        <v>74</v>
      </c>
      <c r="E254" t="s">
        <v>99</v>
      </c>
      <c r="F254">
        <v>3735</v>
      </c>
      <c r="G254">
        <v>0</v>
      </c>
      <c r="H254" t="s">
        <v>37</v>
      </c>
      <c r="I254" t="s">
        <v>22</v>
      </c>
      <c r="J254">
        <v>4</v>
      </c>
      <c r="K254">
        <v>3</v>
      </c>
      <c r="L254" t="s">
        <v>27</v>
      </c>
      <c r="M254">
        <v>3</v>
      </c>
      <c r="N254">
        <v>27</v>
      </c>
      <c r="O254">
        <v>4</v>
      </c>
      <c r="P254">
        <v>2</v>
      </c>
      <c r="Q254" t="s">
        <v>23</v>
      </c>
    </row>
    <row r="255" spans="1:17" x14ac:dyDescent="0.3">
      <c r="A255" t="s">
        <v>300</v>
      </c>
      <c r="B255">
        <v>33</v>
      </c>
      <c r="C255" t="s">
        <v>18</v>
      </c>
      <c r="D255" t="s">
        <v>19</v>
      </c>
      <c r="E255" t="s">
        <v>40</v>
      </c>
      <c r="F255">
        <v>9407</v>
      </c>
      <c r="G255">
        <v>7</v>
      </c>
      <c r="H255" t="s">
        <v>21</v>
      </c>
      <c r="I255" t="s">
        <v>31</v>
      </c>
      <c r="J255">
        <v>3</v>
      </c>
      <c r="K255">
        <v>2</v>
      </c>
      <c r="L255" t="s">
        <v>27</v>
      </c>
      <c r="M255">
        <v>3</v>
      </c>
      <c r="N255">
        <v>3</v>
      </c>
      <c r="O255">
        <v>5</v>
      </c>
      <c r="P255">
        <v>2</v>
      </c>
      <c r="Q255" t="s">
        <v>23</v>
      </c>
    </row>
    <row r="256" spans="1:17" x14ac:dyDescent="0.3">
      <c r="A256" t="s">
        <v>301</v>
      </c>
      <c r="B256">
        <v>42</v>
      </c>
      <c r="C256" t="s">
        <v>18</v>
      </c>
      <c r="D256" t="s">
        <v>25</v>
      </c>
      <c r="E256" t="s">
        <v>61</v>
      </c>
      <c r="F256">
        <v>11936</v>
      </c>
      <c r="G256">
        <v>4</v>
      </c>
      <c r="H256" t="s">
        <v>21</v>
      </c>
      <c r="I256" t="s">
        <v>31</v>
      </c>
      <c r="J256">
        <v>1</v>
      </c>
      <c r="K256">
        <v>1</v>
      </c>
      <c r="L256" t="s">
        <v>27</v>
      </c>
      <c r="M256">
        <v>3</v>
      </c>
      <c r="N256">
        <v>29</v>
      </c>
      <c r="O256">
        <v>4</v>
      </c>
      <c r="P256">
        <v>3</v>
      </c>
      <c r="Q256" t="s">
        <v>27</v>
      </c>
    </row>
    <row r="257" spans="1:17" x14ac:dyDescent="0.3">
      <c r="A257" t="s">
        <v>302</v>
      </c>
      <c r="B257">
        <v>36</v>
      </c>
      <c r="C257" t="s">
        <v>18</v>
      </c>
      <c r="D257" t="s">
        <v>25</v>
      </c>
      <c r="E257" t="s">
        <v>61</v>
      </c>
      <c r="F257">
        <v>3169</v>
      </c>
      <c r="G257">
        <v>1</v>
      </c>
      <c r="H257" t="s">
        <v>46</v>
      </c>
      <c r="I257" t="s">
        <v>31</v>
      </c>
      <c r="J257">
        <v>3</v>
      </c>
      <c r="K257">
        <v>1</v>
      </c>
      <c r="L257" t="s">
        <v>27</v>
      </c>
      <c r="M257">
        <v>3</v>
      </c>
      <c r="N257">
        <v>17</v>
      </c>
      <c r="O257">
        <v>1</v>
      </c>
      <c r="P257">
        <v>4</v>
      </c>
      <c r="Q257" t="s">
        <v>27</v>
      </c>
    </row>
    <row r="258" spans="1:17" x14ac:dyDescent="0.3">
      <c r="A258" t="s">
        <v>303</v>
      </c>
      <c r="B258">
        <v>38</v>
      </c>
      <c r="C258" t="s">
        <v>35</v>
      </c>
      <c r="D258" t="s">
        <v>70</v>
      </c>
      <c r="E258" t="s">
        <v>144</v>
      </c>
      <c r="F258">
        <v>6211</v>
      </c>
      <c r="G258">
        <v>0</v>
      </c>
      <c r="H258" t="s">
        <v>21</v>
      </c>
      <c r="I258" t="s">
        <v>31</v>
      </c>
      <c r="J258">
        <v>1</v>
      </c>
      <c r="K258">
        <v>3</v>
      </c>
      <c r="L258" t="s">
        <v>27</v>
      </c>
      <c r="M258">
        <v>3</v>
      </c>
      <c r="N258">
        <v>9</v>
      </c>
      <c r="O258">
        <v>5</v>
      </c>
      <c r="P258">
        <v>2</v>
      </c>
      <c r="Q258" t="s">
        <v>27</v>
      </c>
    </row>
    <row r="259" spans="1:17" x14ac:dyDescent="0.3">
      <c r="A259" t="s">
        <v>304</v>
      </c>
      <c r="B259">
        <v>49</v>
      </c>
      <c r="C259" t="s">
        <v>18</v>
      </c>
      <c r="D259" t="s">
        <v>25</v>
      </c>
      <c r="E259" t="s">
        <v>61</v>
      </c>
      <c r="F259">
        <v>9594</v>
      </c>
      <c r="G259">
        <v>9</v>
      </c>
      <c r="H259" t="s">
        <v>21</v>
      </c>
      <c r="I259" t="s">
        <v>56</v>
      </c>
      <c r="J259">
        <v>2</v>
      </c>
      <c r="K259">
        <v>2</v>
      </c>
      <c r="L259" t="s">
        <v>23</v>
      </c>
      <c r="M259">
        <v>3</v>
      </c>
      <c r="N259">
        <v>23</v>
      </c>
      <c r="O259">
        <v>2</v>
      </c>
      <c r="P259">
        <v>3</v>
      </c>
      <c r="Q259" t="s">
        <v>27</v>
      </c>
    </row>
    <row r="260" spans="1:17" x14ac:dyDescent="0.3">
      <c r="A260" t="s">
        <v>305</v>
      </c>
      <c r="B260">
        <v>25</v>
      </c>
      <c r="C260" t="s">
        <v>18</v>
      </c>
      <c r="D260" t="s">
        <v>29</v>
      </c>
      <c r="E260" t="s">
        <v>49</v>
      </c>
      <c r="F260">
        <v>7737</v>
      </c>
      <c r="G260">
        <v>4</v>
      </c>
      <c r="H260" t="s">
        <v>46</v>
      </c>
      <c r="I260" t="s">
        <v>31</v>
      </c>
      <c r="J260">
        <v>2</v>
      </c>
      <c r="K260">
        <v>2</v>
      </c>
      <c r="L260" t="s">
        <v>27</v>
      </c>
      <c r="M260">
        <v>3</v>
      </c>
      <c r="N260">
        <v>8</v>
      </c>
      <c r="O260">
        <v>3</v>
      </c>
      <c r="P260">
        <v>4</v>
      </c>
      <c r="Q260" t="s">
        <v>27</v>
      </c>
    </row>
    <row r="261" spans="1:17" x14ac:dyDescent="0.3">
      <c r="A261" t="s">
        <v>306</v>
      </c>
      <c r="B261">
        <v>24</v>
      </c>
      <c r="C261" t="s">
        <v>18</v>
      </c>
      <c r="D261" t="s">
        <v>25</v>
      </c>
      <c r="E261" t="s">
        <v>61</v>
      </c>
      <c r="F261">
        <v>10320</v>
      </c>
      <c r="G261">
        <v>6</v>
      </c>
      <c r="H261" t="s">
        <v>37</v>
      </c>
      <c r="I261" t="s">
        <v>31</v>
      </c>
      <c r="J261">
        <v>3</v>
      </c>
      <c r="K261">
        <v>4</v>
      </c>
      <c r="L261" t="s">
        <v>23</v>
      </c>
      <c r="M261">
        <v>3</v>
      </c>
      <c r="N261">
        <v>24</v>
      </c>
      <c r="O261">
        <v>6</v>
      </c>
      <c r="P261">
        <v>1</v>
      </c>
      <c r="Q261" t="s">
        <v>27</v>
      </c>
    </row>
    <row r="262" spans="1:17" x14ac:dyDescent="0.3">
      <c r="A262" t="s">
        <v>307</v>
      </c>
      <c r="B262">
        <v>31</v>
      </c>
      <c r="C262" t="s">
        <v>18</v>
      </c>
      <c r="D262" t="s">
        <v>70</v>
      </c>
      <c r="E262" t="s">
        <v>144</v>
      </c>
      <c r="F262">
        <v>5845</v>
      </c>
      <c r="G262">
        <v>2</v>
      </c>
      <c r="H262" t="s">
        <v>37</v>
      </c>
      <c r="I262" t="s">
        <v>22</v>
      </c>
      <c r="J262">
        <v>4</v>
      </c>
      <c r="K262">
        <v>1</v>
      </c>
      <c r="L262" t="s">
        <v>27</v>
      </c>
      <c r="M262">
        <v>4</v>
      </c>
      <c r="N262">
        <v>29</v>
      </c>
      <c r="O262">
        <v>2</v>
      </c>
      <c r="P262">
        <v>2</v>
      </c>
      <c r="Q262" t="s">
        <v>27</v>
      </c>
    </row>
    <row r="263" spans="1:17" x14ac:dyDescent="0.3">
      <c r="A263" t="s">
        <v>308</v>
      </c>
      <c r="B263">
        <v>43</v>
      </c>
      <c r="C263" t="s">
        <v>35</v>
      </c>
      <c r="D263" t="s">
        <v>29</v>
      </c>
      <c r="E263" t="s">
        <v>49</v>
      </c>
      <c r="F263">
        <v>11382</v>
      </c>
      <c r="G263">
        <v>21</v>
      </c>
      <c r="H263" t="s">
        <v>37</v>
      </c>
      <c r="I263" t="s">
        <v>22</v>
      </c>
      <c r="J263">
        <v>1</v>
      </c>
      <c r="K263">
        <v>4</v>
      </c>
      <c r="L263" t="s">
        <v>23</v>
      </c>
      <c r="M263">
        <v>1</v>
      </c>
      <c r="N263">
        <v>23</v>
      </c>
      <c r="O263">
        <v>2</v>
      </c>
      <c r="P263">
        <v>2</v>
      </c>
      <c r="Q263" t="s">
        <v>27</v>
      </c>
    </row>
    <row r="264" spans="1:17" x14ac:dyDescent="0.3">
      <c r="A264" t="s">
        <v>309</v>
      </c>
      <c r="B264">
        <v>30</v>
      </c>
      <c r="C264" t="s">
        <v>18</v>
      </c>
      <c r="D264" t="s">
        <v>19</v>
      </c>
      <c r="E264" t="s">
        <v>40</v>
      </c>
      <c r="F264">
        <v>7276</v>
      </c>
      <c r="G264">
        <v>1</v>
      </c>
      <c r="H264" t="s">
        <v>21</v>
      </c>
      <c r="I264" t="s">
        <v>31</v>
      </c>
      <c r="J264">
        <v>2</v>
      </c>
      <c r="K264">
        <v>4</v>
      </c>
      <c r="L264" t="s">
        <v>23</v>
      </c>
      <c r="M264">
        <v>3</v>
      </c>
      <c r="N264">
        <v>24</v>
      </c>
      <c r="O264">
        <v>6</v>
      </c>
      <c r="P264">
        <v>4</v>
      </c>
      <c r="Q264" t="s">
        <v>23</v>
      </c>
    </row>
    <row r="265" spans="1:17" x14ac:dyDescent="0.3">
      <c r="A265" t="s">
        <v>310</v>
      </c>
      <c r="B265">
        <v>46</v>
      </c>
      <c r="C265" t="s">
        <v>35</v>
      </c>
      <c r="D265" t="s">
        <v>70</v>
      </c>
      <c r="E265" t="s">
        <v>71</v>
      </c>
      <c r="F265">
        <v>6741</v>
      </c>
      <c r="G265">
        <v>1</v>
      </c>
      <c r="H265" t="s">
        <v>37</v>
      </c>
      <c r="I265" t="s">
        <v>31</v>
      </c>
      <c r="J265">
        <v>4</v>
      </c>
      <c r="K265">
        <v>3</v>
      </c>
      <c r="L265" t="s">
        <v>23</v>
      </c>
      <c r="M265">
        <v>2</v>
      </c>
      <c r="N265">
        <v>23</v>
      </c>
      <c r="O265">
        <v>0</v>
      </c>
      <c r="P265">
        <v>1</v>
      </c>
      <c r="Q265" t="s">
        <v>27</v>
      </c>
    </row>
    <row r="266" spans="1:17" x14ac:dyDescent="0.3">
      <c r="A266" t="s">
        <v>311</v>
      </c>
      <c r="B266">
        <v>29</v>
      </c>
      <c r="C266" t="s">
        <v>35</v>
      </c>
      <c r="D266" t="s">
        <v>19</v>
      </c>
      <c r="E266" t="s">
        <v>40</v>
      </c>
      <c r="F266">
        <v>5884</v>
      </c>
      <c r="G266">
        <v>3</v>
      </c>
      <c r="H266" t="s">
        <v>21</v>
      </c>
      <c r="I266" t="s">
        <v>56</v>
      </c>
      <c r="J266">
        <v>4</v>
      </c>
      <c r="K266">
        <v>4</v>
      </c>
      <c r="L266" t="s">
        <v>27</v>
      </c>
      <c r="M266">
        <v>2</v>
      </c>
      <c r="N266">
        <v>15</v>
      </c>
      <c r="O266">
        <v>6</v>
      </c>
      <c r="P266">
        <v>3</v>
      </c>
      <c r="Q266" t="s">
        <v>27</v>
      </c>
    </row>
    <row r="267" spans="1:17" x14ac:dyDescent="0.3">
      <c r="A267" t="s">
        <v>312</v>
      </c>
      <c r="B267">
        <v>50</v>
      </c>
      <c r="C267" t="s">
        <v>18</v>
      </c>
      <c r="D267" t="s">
        <v>25</v>
      </c>
      <c r="E267" t="s">
        <v>26</v>
      </c>
      <c r="F267">
        <v>7592</v>
      </c>
      <c r="G267">
        <v>4</v>
      </c>
      <c r="H267" t="s">
        <v>37</v>
      </c>
      <c r="I267" t="s">
        <v>31</v>
      </c>
      <c r="J267">
        <v>2</v>
      </c>
      <c r="K267">
        <v>3</v>
      </c>
      <c r="L267" t="s">
        <v>27</v>
      </c>
      <c r="M267">
        <v>2</v>
      </c>
      <c r="N267">
        <v>16</v>
      </c>
      <c r="O267">
        <v>1</v>
      </c>
      <c r="P267">
        <v>4</v>
      </c>
      <c r="Q267" t="s">
        <v>27</v>
      </c>
    </row>
    <row r="268" spans="1:17" x14ac:dyDescent="0.3">
      <c r="A268" t="s">
        <v>313</v>
      </c>
      <c r="B268">
        <v>34</v>
      </c>
      <c r="C268" t="s">
        <v>18</v>
      </c>
      <c r="D268" t="s">
        <v>44</v>
      </c>
      <c r="E268" t="s">
        <v>20</v>
      </c>
      <c r="F268">
        <v>16120</v>
      </c>
      <c r="G268">
        <v>6</v>
      </c>
      <c r="H268" t="s">
        <v>37</v>
      </c>
      <c r="I268" t="s">
        <v>22</v>
      </c>
      <c r="J268">
        <v>4</v>
      </c>
      <c r="K268">
        <v>2</v>
      </c>
      <c r="L268" t="s">
        <v>27</v>
      </c>
      <c r="M268">
        <v>3</v>
      </c>
      <c r="N268">
        <v>28</v>
      </c>
      <c r="O268">
        <v>6</v>
      </c>
      <c r="P268">
        <v>4</v>
      </c>
      <c r="Q268" t="s">
        <v>27</v>
      </c>
    </row>
    <row r="269" spans="1:17" x14ac:dyDescent="0.3">
      <c r="A269" t="s">
        <v>314</v>
      </c>
      <c r="B269">
        <v>33</v>
      </c>
      <c r="C269" t="s">
        <v>18</v>
      </c>
      <c r="D269" t="s">
        <v>74</v>
      </c>
      <c r="E269" t="s">
        <v>75</v>
      </c>
      <c r="F269">
        <v>9511</v>
      </c>
      <c r="G269">
        <v>2</v>
      </c>
      <c r="H269" t="s">
        <v>21</v>
      </c>
      <c r="I269" t="s">
        <v>22</v>
      </c>
      <c r="J269">
        <v>4</v>
      </c>
      <c r="K269">
        <v>2</v>
      </c>
      <c r="L269" t="s">
        <v>27</v>
      </c>
      <c r="M269">
        <v>3</v>
      </c>
      <c r="N269">
        <v>23</v>
      </c>
      <c r="O269">
        <v>5</v>
      </c>
      <c r="P269">
        <v>1</v>
      </c>
      <c r="Q269" t="s">
        <v>27</v>
      </c>
    </row>
    <row r="270" spans="1:17" x14ac:dyDescent="0.3">
      <c r="A270" t="s">
        <v>315</v>
      </c>
      <c r="B270">
        <v>37</v>
      </c>
      <c r="C270" t="s">
        <v>18</v>
      </c>
      <c r="D270" t="s">
        <v>25</v>
      </c>
      <c r="E270" t="s">
        <v>61</v>
      </c>
      <c r="F270">
        <v>7342</v>
      </c>
      <c r="G270">
        <v>0</v>
      </c>
      <c r="H270" t="s">
        <v>46</v>
      </c>
      <c r="I270" t="s">
        <v>56</v>
      </c>
      <c r="J270">
        <v>1</v>
      </c>
      <c r="K270">
        <v>3</v>
      </c>
      <c r="L270" t="s">
        <v>23</v>
      </c>
      <c r="M270">
        <v>2</v>
      </c>
      <c r="N270">
        <v>26</v>
      </c>
      <c r="O270">
        <v>3</v>
      </c>
      <c r="P270">
        <v>3</v>
      </c>
      <c r="Q270" t="s">
        <v>27</v>
      </c>
    </row>
    <row r="271" spans="1:17" x14ac:dyDescent="0.3">
      <c r="A271" t="s">
        <v>316</v>
      </c>
      <c r="B271">
        <v>28</v>
      </c>
      <c r="C271" t="s">
        <v>18</v>
      </c>
      <c r="D271" t="s">
        <v>74</v>
      </c>
      <c r="E271" t="s">
        <v>99</v>
      </c>
      <c r="F271">
        <v>8675</v>
      </c>
      <c r="G271">
        <v>3</v>
      </c>
      <c r="H271" t="s">
        <v>37</v>
      </c>
      <c r="I271" t="s">
        <v>22</v>
      </c>
      <c r="J271">
        <v>3</v>
      </c>
      <c r="K271">
        <v>1</v>
      </c>
      <c r="L271" t="s">
        <v>23</v>
      </c>
      <c r="M271">
        <v>3</v>
      </c>
      <c r="N271">
        <v>18</v>
      </c>
      <c r="O271">
        <v>2</v>
      </c>
      <c r="P271">
        <v>1</v>
      </c>
      <c r="Q271" t="s">
        <v>27</v>
      </c>
    </row>
    <row r="272" spans="1:17" x14ac:dyDescent="0.3">
      <c r="A272" t="s">
        <v>317</v>
      </c>
      <c r="B272">
        <v>46</v>
      </c>
      <c r="C272" t="s">
        <v>18</v>
      </c>
      <c r="D272" t="s">
        <v>44</v>
      </c>
      <c r="E272" t="s">
        <v>45</v>
      </c>
      <c r="F272">
        <v>6129</v>
      </c>
      <c r="G272">
        <v>0</v>
      </c>
      <c r="H272" t="s">
        <v>21</v>
      </c>
      <c r="I272" t="s">
        <v>22</v>
      </c>
      <c r="J272">
        <v>2</v>
      </c>
      <c r="K272">
        <v>2</v>
      </c>
      <c r="L272" t="s">
        <v>27</v>
      </c>
      <c r="M272">
        <v>3</v>
      </c>
      <c r="N272">
        <v>7</v>
      </c>
      <c r="O272">
        <v>4</v>
      </c>
      <c r="P272">
        <v>4</v>
      </c>
      <c r="Q272" t="s">
        <v>27</v>
      </c>
    </row>
    <row r="273" spans="1:17" x14ac:dyDescent="0.3">
      <c r="A273" t="s">
        <v>318</v>
      </c>
      <c r="B273">
        <v>35</v>
      </c>
      <c r="C273" t="s">
        <v>18</v>
      </c>
      <c r="D273" t="s">
        <v>25</v>
      </c>
      <c r="E273" t="s">
        <v>26</v>
      </c>
      <c r="F273">
        <v>4464</v>
      </c>
      <c r="G273">
        <v>4</v>
      </c>
      <c r="H273" t="s">
        <v>33</v>
      </c>
      <c r="I273" t="s">
        <v>56</v>
      </c>
      <c r="J273">
        <v>1</v>
      </c>
      <c r="K273">
        <v>4</v>
      </c>
      <c r="L273" t="s">
        <v>27</v>
      </c>
      <c r="M273">
        <v>3</v>
      </c>
      <c r="N273">
        <v>23</v>
      </c>
      <c r="O273">
        <v>3</v>
      </c>
      <c r="P273">
        <v>2</v>
      </c>
      <c r="Q273" t="s">
        <v>27</v>
      </c>
    </row>
    <row r="274" spans="1:17" x14ac:dyDescent="0.3">
      <c r="A274" t="s">
        <v>319</v>
      </c>
      <c r="B274">
        <v>28</v>
      </c>
      <c r="C274" t="s">
        <v>18</v>
      </c>
      <c r="D274" t="s">
        <v>74</v>
      </c>
      <c r="E274" t="s">
        <v>99</v>
      </c>
      <c r="F274">
        <v>5827</v>
      </c>
      <c r="G274">
        <v>3</v>
      </c>
      <c r="H274" t="s">
        <v>37</v>
      </c>
      <c r="I274" t="s">
        <v>22</v>
      </c>
      <c r="J274">
        <v>1</v>
      </c>
      <c r="K274">
        <v>2</v>
      </c>
      <c r="L274" t="s">
        <v>27</v>
      </c>
      <c r="M274">
        <v>2</v>
      </c>
      <c r="N274">
        <v>27</v>
      </c>
      <c r="O274">
        <v>5</v>
      </c>
      <c r="P274">
        <v>4</v>
      </c>
      <c r="Q274" t="s">
        <v>27</v>
      </c>
    </row>
    <row r="275" spans="1:17" x14ac:dyDescent="0.3">
      <c r="A275" t="s">
        <v>320</v>
      </c>
      <c r="B275">
        <v>36</v>
      </c>
      <c r="C275" t="s">
        <v>18</v>
      </c>
      <c r="D275" t="s">
        <v>29</v>
      </c>
      <c r="E275" t="s">
        <v>30</v>
      </c>
      <c r="F275">
        <v>7980</v>
      </c>
      <c r="G275">
        <v>9</v>
      </c>
      <c r="H275" t="s">
        <v>46</v>
      </c>
      <c r="I275" t="s">
        <v>22</v>
      </c>
      <c r="J275">
        <v>4</v>
      </c>
      <c r="K275">
        <v>3</v>
      </c>
      <c r="L275" t="s">
        <v>27</v>
      </c>
      <c r="M275">
        <v>3</v>
      </c>
      <c r="N275">
        <v>6</v>
      </c>
      <c r="O275">
        <v>4</v>
      </c>
      <c r="P275">
        <v>1</v>
      </c>
      <c r="Q275" t="s">
        <v>27</v>
      </c>
    </row>
    <row r="276" spans="1:17" x14ac:dyDescent="0.3">
      <c r="A276" t="s">
        <v>321</v>
      </c>
      <c r="B276">
        <v>24</v>
      </c>
      <c r="C276" t="s">
        <v>35</v>
      </c>
      <c r="D276" t="s">
        <v>19</v>
      </c>
      <c r="E276" t="s">
        <v>40</v>
      </c>
      <c r="F276">
        <v>4694</v>
      </c>
      <c r="G276">
        <v>0</v>
      </c>
      <c r="H276" t="s">
        <v>37</v>
      </c>
      <c r="I276" t="s">
        <v>31</v>
      </c>
      <c r="J276">
        <v>3</v>
      </c>
      <c r="K276">
        <v>4</v>
      </c>
      <c r="L276" t="s">
        <v>27</v>
      </c>
      <c r="M276">
        <v>3</v>
      </c>
      <c r="N276">
        <v>24</v>
      </c>
      <c r="O276">
        <v>5</v>
      </c>
      <c r="P276">
        <v>4</v>
      </c>
      <c r="Q276" t="s">
        <v>27</v>
      </c>
    </row>
    <row r="277" spans="1:17" x14ac:dyDescent="0.3">
      <c r="A277" t="s">
        <v>322</v>
      </c>
      <c r="B277">
        <v>29</v>
      </c>
      <c r="C277" t="s">
        <v>18</v>
      </c>
      <c r="D277" t="s">
        <v>19</v>
      </c>
      <c r="E277" t="s">
        <v>20</v>
      </c>
      <c r="F277">
        <v>9609</v>
      </c>
      <c r="G277">
        <v>5</v>
      </c>
      <c r="H277" t="s">
        <v>37</v>
      </c>
      <c r="I277" t="s">
        <v>31</v>
      </c>
      <c r="J277">
        <v>1</v>
      </c>
      <c r="K277">
        <v>1</v>
      </c>
      <c r="L277" t="s">
        <v>27</v>
      </c>
      <c r="M277">
        <v>3</v>
      </c>
      <c r="N277">
        <v>19</v>
      </c>
      <c r="O277">
        <v>1</v>
      </c>
      <c r="P277">
        <v>4</v>
      </c>
      <c r="Q277" t="s">
        <v>27</v>
      </c>
    </row>
    <row r="278" spans="1:17" x14ac:dyDescent="0.3">
      <c r="A278" t="s">
        <v>323</v>
      </c>
      <c r="B278">
        <v>36</v>
      </c>
      <c r="C278" t="s">
        <v>18</v>
      </c>
      <c r="D278" t="s">
        <v>25</v>
      </c>
      <c r="E278" t="s">
        <v>20</v>
      </c>
      <c r="F278">
        <v>16900</v>
      </c>
      <c r="G278">
        <v>13</v>
      </c>
      <c r="H278" t="s">
        <v>37</v>
      </c>
      <c r="I278" t="s">
        <v>56</v>
      </c>
      <c r="J278">
        <v>2</v>
      </c>
      <c r="K278">
        <v>4</v>
      </c>
      <c r="L278" t="s">
        <v>23</v>
      </c>
      <c r="M278">
        <v>2</v>
      </c>
      <c r="N278">
        <v>15</v>
      </c>
      <c r="O278">
        <v>3</v>
      </c>
      <c r="P278">
        <v>3</v>
      </c>
      <c r="Q278" t="s">
        <v>27</v>
      </c>
    </row>
    <row r="279" spans="1:17" x14ac:dyDescent="0.3">
      <c r="A279" t="s">
        <v>324</v>
      </c>
      <c r="B279">
        <v>23</v>
      </c>
      <c r="C279" t="s">
        <v>35</v>
      </c>
      <c r="D279" t="s">
        <v>25</v>
      </c>
      <c r="E279" t="s">
        <v>26</v>
      </c>
      <c r="F279">
        <v>8036</v>
      </c>
      <c r="G279">
        <v>0</v>
      </c>
      <c r="H279" t="s">
        <v>37</v>
      </c>
      <c r="I279" t="s">
        <v>31</v>
      </c>
      <c r="J279">
        <v>4</v>
      </c>
      <c r="K279">
        <v>1</v>
      </c>
      <c r="L279" t="s">
        <v>23</v>
      </c>
      <c r="M279">
        <v>4</v>
      </c>
      <c r="N279">
        <v>17</v>
      </c>
      <c r="O279">
        <v>6</v>
      </c>
      <c r="P279">
        <v>3</v>
      </c>
      <c r="Q279" t="s">
        <v>27</v>
      </c>
    </row>
    <row r="280" spans="1:17" x14ac:dyDescent="0.3">
      <c r="A280" t="s">
        <v>325</v>
      </c>
      <c r="B280">
        <v>27</v>
      </c>
      <c r="C280" t="s">
        <v>35</v>
      </c>
      <c r="D280" t="s">
        <v>74</v>
      </c>
      <c r="E280" t="s">
        <v>75</v>
      </c>
      <c r="F280">
        <v>8771</v>
      </c>
      <c r="G280">
        <v>1</v>
      </c>
      <c r="H280" t="s">
        <v>21</v>
      </c>
      <c r="I280" t="s">
        <v>22</v>
      </c>
      <c r="J280">
        <v>4</v>
      </c>
      <c r="K280">
        <v>1</v>
      </c>
      <c r="L280" t="s">
        <v>27</v>
      </c>
      <c r="M280">
        <v>3</v>
      </c>
      <c r="N280">
        <v>3</v>
      </c>
      <c r="O280">
        <v>1</v>
      </c>
      <c r="P280">
        <v>1</v>
      </c>
      <c r="Q280" t="s">
        <v>27</v>
      </c>
    </row>
    <row r="281" spans="1:17" x14ac:dyDescent="0.3">
      <c r="A281" t="s">
        <v>326</v>
      </c>
      <c r="B281">
        <v>36</v>
      </c>
      <c r="C281" t="s">
        <v>18</v>
      </c>
      <c r="D281" t="s">
        <v>29</v>
      </c>
      <c r="E281" t="s">
        <v>49</v>
      </c>
      <c r="F281">
        <v>6732</v>
      </c>
      <c r="G281">
        <v>0</v>
      </c>
      <c r="H281" t="s">
        <v>37</v>
      </c>
      <c r="I281" t="s">
        <v>22</v>
      </c>
      <c r="J281">
        <v>3</v>
      </c>
      <c r="K281">
        <v>2</v>
      </c>
      <c r="L281" t="s">
        <v>27</v>
      </c>
      <c r="M281">
        <v>3</v>
      </c>
      <c r="N281">
        <v>26</v>
      </c>
      <c r="O281">
        <v>4</v>
      </c>
      <c r="P281">
        <v>2</v>
      </c>
      <c r="Q281" t="s">
        <v>27</v>
      </c>
    </row>
    <row r="282" spans="1:17" x14ac:dyDescent="0.3">
      <c r="A282" t="s">
        <v>327</v>
      </c>
      <c r="B282">
        <v>34</v>
      </c>
      <c r="C282" t="s">
        <v>35</v>
      </c>
      <c r="D282" t="s">
        <v>70</v>
      </c>
      <c r="E282" t="s">
        <v>71</v>
      </c>
      <c r="F282">
        <v>11138</v>
      </c>
      <c r="G282">
        <v>6</v>
      </c>
      <c r="H282" t="s">
        <v>46</v>
      </c>
      <c r="I282" t="s">
        <v>22</v>
      </c>
      <c r="J282">
        <v>4</v>
      </c>
      <c r="K282">
        <v>2</v>
      </c>
      <c r="L282" t="s">
        <v>27</v>
      </c>
      <c r="M282">
        <v>4</v>
      </c>
      <c r="N282">
        <v>8</v>
      </c>
      <c r="O282">
        <v>6</v>
      </c>
      <c r="P282">
        <v>3</v>
      </c>
      <c r="Q282" t="s">
        <v>27</v>
      </c>
    </row>
    <row r="283" spans="1:17" x14ac:dyDescent="0.3">
      <c r="A283" t="s">
        <v>328</v>
      </c>
      <c r="B283">
        <v>22</v>
      </c>
      <c r="C283" t="s">
        <v>18</v>
      </c>
      <c r="D283" t="s">
        <v>19</v>
      </c>
      <c r="E283" t="s">
        <v>40</v>
      </c>
      <c r="F283">
        <v>9097</v>
      </c>
      <c r="G283">
        <v>4</v>
      </c>
      <c r="H283" t="s">
        <v>21</v>
      </c>
      <c r="I283" t="s">
        <v>31</v>
      </c>
      <c r="J283">
        <v>2</v>
      </c>
      <c r="K283">
        <v>1</v>
      </c>
      <c r="L283" t="s">
        <v>27</v>
      </c>
      <c r="M283">
        <v>3</v>
      </c>
      <c r="N283">
        <v>11</v>
      </c>
      <c r="O283">
        <v>3</v>
      </c>
      <c r="P283">
        <v>4</v>
      </c>
      <c r="Q283" t="s">
        <v>27</v>
      </c>
    </row>
    <row r="284" spans="1:17" x14ac:dyDescent="0.3">
      <c r="A284" t="s">
        <v>329</v>
      </c>
      <c r="B284">
        <v>44</v>
      </c>
      <c r="C284" t="s">
        <v>18</v>
      </c>
      <c r="D284" t="s">
        <v>29</v>
      </c>
      <c r="E284" t="s">
        <v>49</v>
      </c>
      <c r="F284">
        <v>5858</v>
      </c>
      <c r="G284">
        <v>0</v>
      </c>
      <c r="H284" t="s">
        <v>37</v>
      </c>
      <c r="I284" t="s">
        <v>31</v>
      </c>
      <c r="J284">
        <v>2</v>
      </c>
      <c r="K284">
        <v>1</v>
      </c>
      <c r="L284" t="s">
        <v>23</v>
      </c>
      <c r="M284">
        <v>2</v>
      </c>
      <c r="N284">
        <v>20</v>
      </c>
      <c r="O284">
        <v>0</v>
      </c>
      <c r="P284">
        <v>4</v>
      </c>
      <c r="Q284" t="s">
        <v>27</v>
      </c>
    </row>
    <row r="285" spans="1:17" x14ac:dyDescent="0.3">
      <c r="A285" t="s">
        <v>330</v>
      </c>
      <c r="B285">
        <v>42</v>
      </c>
      <c r="C285" t="s">
        <v>35</v>
      </c>
      <c r="D285" t="s">
        <v>19</v>
      </c>
      <c r="E285" t="s">
        <v>36</v>
      </c>
      <c r="F285">
        <v>9251</v>
      </c>
      <c r="G285">
        <v>8</v>
      </c>
      <c r="H285" t="s">
        <v>46</v>
      </c>
      <c r="I285" t="s">
        <v>31</v>
      </c>
      <c r="J285">
        <v>2</v>
      </c>
      <c r="K285">
        <v>3</v>
      </c>
      <c r="L285" t="s">
        <v>27</v>
      </c>
      <c r="M285">
        <v>3</v>
      </c>
      <c r="N285">
        <v>15</v>
      </c>
      <c r="O285">
        <v>0</v>
      </c>
      <c r="P285">
        <v>1</v>
      </c>
      <c r="Q285" t="s">
        <v>27</v>
      </c>
    </row>
    <row r="286" spans="1:17" x14ac:dyDescent="0.3">
      <c r="A286" t="s">
        <v>331</v>
      </c>
      <c r="B286">
        <v>29</v>
      </c>
      <c r="C286" t="s">
        <v>18</v>
      </c>
      <c r="D286" t="s">
        <v>29</v>
      </c>
      <c r="E286" t="s">
        <v>30</v>
      </c>
      <c r="F286">
        <v>7757</v>
      </c>
      <c r="G286">
        <v>8</v>
      </c>
      <c r="H286" t="s">
        <v>46</v>
      </c>
      <c r="I286" t="s">
        <v>31</v>
      </c>
      <c r="J286">
        <v>2</v>
      </c>
      <c r="K286">
        <v>1</v>
      </c>
      <c r="L286" t="s">
        <v>27</v>
      </c>
      <c r="M286">
        <v>3</v>
      </c>
      <c r="N286">
        <v>21</v>
      </c>
      <c r="O286">
        <v>2</v>
      </c>
      <c r="P286">
        <v>4</v>
      </c>
      <c r="Q286" t="s">
        <v>27</v>
      </c>
    </row>
    <row r="287" spans="1:17" x14ac:dyDescent="0.3">
      <c r="A287" t="s">
        <v>332</v>
      </c>
      <c r="B287">
        <v>25</v>
      </c>
      <c r="C287" t="s">
        <v>35</v>
      </c>
      <c r="D287" t="s">
        <v>70</v>
      </c>
      <c r="E287" t="s">
        <v>20</v>
      </c>
      <c r="F287">
        <v>11769</v>
      </c>
      <c r="G287">
        <v>5</v>
      </c>
      <c r="H287" t="s">
        <v>37</v>
      </c>
      <c r="I287" t="s">
        <v>31</v>
      </c>
      <c r="J287">
        <v>2</v>
      </c>
      <c r="K287">
        <v>2</v>
      </c>
      <c r="L287" t="s">
        <v>27</v>
      </c>
      <c r="M287">
        <v>4</v>
      </c>
      <c r="N287">
        <v>14</v>
      </c>
      <c r="O287">
        <v>4</v>
      </c>
      <c r="P287">
        <v>3</v>
      </c>
      <c r="Q287" t="s">
        <v>27</v>
      </c>
    </row>
    <row r="288" spans="1:17" x14ac:dyDescent="0.3">
      <c r="A288" t="s">
        <v>333</v>
      </c>
      <c r="B288">
        <v>24</v>
      </c>
      <c r="C288" t="s">
        <v>35</v>
      </c>
      <c r="D288" t="s">
        <v>25</v>
      </c>
      <c r="E288" t="s">
        <v>61</v>
      </c>
      <c r="F288">
        <v>9966</v>
      </c>
      <c r="G288">
        <v>5</v>
      </c>
      <c r="H288" t="s">
        <v>37</v>
      </c>
      <c r="I288" t="s">
        <v>31</v>
      </c>
      <c r="J288">
        <v>2</v>
      </c>
      <c r="K288">
        <v>4</v>
      </c>
      <c r="L288" t="s">
        <v>23</v>
      </c>
      <c r="M288">
        <v>3</v>
      </c>
      <c r="N288">
        <v>29</v>
      </c>
      <c r="O288">
        <v>0</v>
      </c>
      <c r="P288">
        <v>3</v>
      </c>
      <c r="Q288" t="s">
        <v>27</v>
      </c>
    </row>
    <row r="289" spans="1:17" x14ac:dyDescent="0.3">
      <c r="A289" t="s">
        <v>334</v>
      </c>
      <c r="B289">
        <v>26</v>
      </c>
      <c r="C289" t="s">
        <v>35</v>
      </c>
      <c r="D289" t="s">
        <v>29</v>
      </c>
      <c r="E289" t="s">
        <v>49</v>
      </c>
      <c r="F289">
        <v>5675</v>
      </c>
      <c r="G289">
        <v>1</v>
      </c>
      <c r="H289" t="s">
        <v>21</v>
      </c>
      <c r="I289" t="s">
        <v>22</v>
      </c>
      <c r="J289">
        <v>4</v>
      </c>
      <c r="K289">
        <v>3</v>
      </c>
      <c r="L289" t="s">
        <v>23</v>
      </c>
      <c r="M289">
        <v>4</v>
      </c>
      <c r="N289">
        <v>4</v>
      </c>
      <c r="O289">
        <v>4</v>
      </c>
      <c r="P289">
        <v>2</v>
      </c>
      <c r="Q289" t="s">
        <v>27</v>
      </c>
    </row>
    <row r="290" spans="1:17" x14ac:dyDescent="0.3">
      <c r="A290" t="s">
        <v>335</v>
      </c>
      <c r="B290">
        <v>26</v>
      </c>
      <c r="C290" t="s">
        <v>18</v>
      </c>
      <c r="D290" t="s">
        <v>19</v>
      </c>
      <c r="E290" t="s">
        <v>20</v>
      </c>
      <c r="F290">
        <v>12593</v>
      </c>
      <c r="G290">
        <v>8</v>
      </c>
      <c r="H290" t="s">
        <v>37</v>
      </c>
      <c r="I290" t="s">
        <v>22</v>
      </c>
      <c r="J290">
        <v>3</v>
      </c>
      <c r="K290">
        <v>4</v>
      </c>
      <c r="L290" t="s">
        <v>27</v>
      </c>
      <c r="M290">
        <v>3</v>
      </c>
      <c r="N290">
        <v>29</v>
      </c>
      <c r="O290">
        <v>0</v>
      </c>
      <c r="P290">
        <v>4</v>
      </c>
      <c r="Q290" t="s">
        <v>27</v>
      </c>
    </row>
    <row r="291" spans="1:17" x14ac:dyDescent="0.3">
      <c r="A291" t="s">
        <v>336</v>
      </c>
      <c r="B291">
        <v>41</v>
      </c>
      <c r="C291" t="s">
        <v>18</v>
      </c>
      <c r="D291" t="s">
        <v>74</v>
      </c>
      <c r="E291" t="s">
        <v>75</v>
      </c>
      <c r="F291">
        <v>8506</v>
      </c>
      <c r="G291">
        <v>5</v>
      </c>
      <c r="H291" t="s">
        <v>37</v>
      </c>
      <c r="I291" t="s">
        <v>22</v>
      </c>
      <c r="J291">
        <v>2</v>
      </c>
      <c r="K291">
        <v>2</v>
      </c>
      <c r="L291" t="s">
        <v>27</v>
      </c>
      <c r="M291">
        <v>2</v>
      </c>
      <c r="N291">
        <v>12</v>
      </c>
      <c r="O291">
        <v>3</v>
      </c>
      <c r="P291">
        <v>1</v>
      </c>
      <c r="Q291" t="s">
        <v>27</v>
      </c>
    </row>
    <row r="292" spans="1:17" x14ac:dyDescent="0.3">
      <c r="A292" t="s">
        <v>337</v>
      </c>
      <c r="B292">
        <v>32</v>
      </c>
      <c r="C292" t="s">
        <v>35</v>
      </c>
      <c r="D292" t="s">
        <v>29</v>
      </c>
      <c r="E292" t="s">
        <v>49</v>
      </c>
      <c r="F292">
        <v>11365</v>
      </c>
      <c r="G292">
        <v>10</v>
      </c>
      <c r="H292" t="s">
        <v>37</v>
      </c>
      <c r="I292" t="s">
        <v>31</v>
      </c>
      <c r="J292">
        <v>3</v>
      </c>
      <c r="K292">
        <v>3</v>
      </c>
      <c r="L292" t="s">
        <v>27</v>
      </c>
      <c r="M292">
        <v>3</v>
      </c>
      <c r="N292">
        <v>4</v>
      </c>
      <c r="O292">
        <v>6</v>
      </c>
      <c r="P292">
        <v>4</v>
      </c>
      <c r="Q292" t="s">
        <v>27</v>
      </c>
    </row>
    <row r="293" spans="1:17" x14ac:dyDescent="0.3">
      <c r="A293" t="s">
        <v>338</v>
      </c>
      <c r="B293">
        <v>44</v>
      </c>
      <c r="C293" t="s">
        <v>35</v>
      </c>
      <c r="D293" t="s">
        <v>74</v>
      </c>
      <c r="E293" t="s">
        <v>20</v>
      </c>
      <c r="F293">
        <v>10596</v>
      </c>
      <c r="G293">
        <v>1</v>
      </c>
      <c r="H293" t="s">
        <v>33</v>
      </c>
      <c r="I293" t="s">
        <v>22</v>
      </c>
      <c r="J293">
        <v>3</v>
      </c>
      <c r="K293">
        <v>2</v>
      </c>
      <c r="L293" t="s">
        <v>23</v>
      </c>
      <c r="M293">
        <v>3</v>
      </c>
      <c r="N293">
        <v>23</v>
      </c>
      <c r="O293">
        <v>5</v>
      </c>
      <c r="P293">
        <v>1</v>
      </c>
      <c r="Q293" t="s">
        <v>27</v>
      </c>
    </row>
    <row r="294" spans="1:17" x14ac:dyDescent="0.3">
      <c r="A294" t="s">
        <v>339</v>
      </c>
      <c r="B294">
        <v>37</v>
      </c>
      <c r="C294" t="s">
        <v>18</v>
      </c>
      <c r="D294" t="s">
        <v>70</v>
      </c>
      <c r="E294" t="s">
        <v>71</v>
      </c>
      <c r="F294">
        <v>4034</v>
      </c>
      <c r="G294">
        <v>2</v>
      </c>
      <c r="H294" t="s">
        <v>37</v>
      </c>
      <c r="I294" t="s">
        <v>22</v>
      </c>
      <c r="J294">
        <v>4</v>
      </c>
      <c r="K294">
        <v>2</v>
      </c>
      <c r="L294" t="s">
        <v>23</v>
      </c>
      <c r="M294">
        <v>3</v>
      </c>
      <c r="N294">
        <v>25</v>
      </c>
      <c r="O294">
        <v>1</v>
      </c>
      <c r="P294">
        <v>2</v>
      </c>
      <c r="Q294" t="s">
        <v>27</v>
      </c>
    </row>
    <row r="295" spans="1:17" x14ac:dyDescent="0.3">
      <c r="A295" t="s">
        <v>340</v>
      </c>
      <c r="B295">
        <v>24</v>
      </c>
      <c r="C295" t="s">
        <v>18</v>
      </c>
      <c r="D295" t="s">
        <v>25</v>
      </c>
      <c r="E295" t="s">
        <v>61</v>
      </c>
      <c r="F295">
        <v>7569</v>
      </c>
      <c r="G295">
        <v>1</v>
      </c>
      <c r="H295" t="s">
        <v>33</v>
      </c>
      <c r="I295" t="s">
        <v>31</v>
      </c>
      <c r="J295">
        <v>3</v>
      </c>
      <c r="K295">
        <v>1</v>
      </c>
      <c r="L295" t="s">
        <v>27</v>
      </c>
      <c r="M295">
        <v>4</v>
      </c>
      <c r="N295">
        <v>23</v>
      </c>
      <c r="O295">
        <v>0</v>
      </c>
      <c r="P295">
        <v>4</v>
      </c>
      <c r="Q295" t="s">
        <v>27</v>
      </c>
    </row>
    <row r="296" spans="1:17" x14ac:dyDescent="0.3">
      <c r="A296" t="s">
        <v>341</v>
      </c>
      <c r="B296">
        <v>18</v>
      </c>
      <c r="C296" t="s">
        <v>18</v>
      </c>
      <c r="D296" t="s">
        <v>25</v>
      </c>
      <c r="E296" t="s">
        <v>26</v>
      </c>
      <c r="F296">
        <v>8872</v>
      </c>
      <c r="G296">
        <v>0</v>
      </c>
      <c r="H296" t="s">
        <v>37</v>
      </c>
      <c r="I296" t="s">
        <v>56</v>
      </c>
      <c r="J296">
        <v>2</v>
      </c>
      <c r="K296">
        <v>4</v>
      </c>
      <c r="L296" t="s">
        <v>23</v>
      </c>
      <c r="M296">
        <v>3</v>
      </c>
      <c r="N296">
        <v>15</v>
      </c>
      <c r="O296">
        <v>6</v>
      </c>
      <c r="P296">
        <v>4</v>
      </c>
      <c r="Q296" t="s">
        <v>27</v>
      </c>
    </row>
    <row r="297" spans="1:17" x14ac:dyDescent="0.3">
      <c r="A297" t="s">
        <v>342</v>
      </c>
      <c r="B297">
        <v>25</v>
      </c>
      <c r="C297" t="s">
        <v>35</v>
      </c>
      <c r="D297" t="s">
        <v>29</v>
      </c>
      <c r="E297" t="s">
        <v>49</v>
      </c>
      <c r="F297">
        <v>11331</v>
      </c>
      <c r="G297">
        <v>7</v>
      </c>
      <c r="H297" t="s">
        <v>37</v>
      </c>
      <c r="I297" t="s">
        <v>22</v>
      </c>
      <c r="J297">
        <v>3</v>
      </c>
      <c r="K297">
        <v>3</v>
      </c>
      <c r="L297" t="s">
        <v>27</v>
      </c>
      <c r="M297">
        <v>1</v>
      </c>
      <c r="N297">
        <v>12</v>
      </c>
      <c r="O297">
        <v>4</v>
      </c>
      <c r="P297">
        <v>2</v>
      </c>
      <c r="Q297" t="s">
        <v>27</v>
      </c>
    </row>
    <row r="298" spans="1:17" x14ac:dyDescent="0.3">
      <c r="A298" t="s">
        <v>343</v>
      </c>
      <c r="B298">
        <v>33</v>
      </c>
      <c r="C298" t="s">
        <v>35</v>
      </c>
      <c r="D298" t="s">
        <v>74</v>
      </c>
      <c r="E298" t="s">
        <v>20</v>
      </c>
      <c r="F298">
        <v>10286</v>
      </c>
      <c r="G298">
        <v>2</v>
      </c>
      <c r="H298" t="s">
        <v>37</v>
      </c>
      <c r="I298" t="s">
        <v>22</v>
      </c>
      <c r="J298">
        <v>4</v>
      </c>
      <c r="K298">
        <v>1</v>
      </c>
      <c r="L298" t="s">
        <v>23</v>
      </c>
      <c r="M298">
        <v>2</v>
      </c>
      <c r="N298">
        <v>10</v>
      </c>
      <c r="O298">
        <v>6</v>
      </c>
      <c r="P298">
        <v>1</v>
      </c>
      <c r="Q298" t="s">
        <v>27</v>
      </c>
    </row>
    <row r="299" spans="1:17" x14ac:dyDescent="0.3">
      <c r="A299" t="s">
        <v>344</v>
      </c>
      <c r="B299">
        <v>36</v>
      </c>
      <c r="C299" t="s">
        <v>18</v>
      </c>
      <c r="D299" t="s">
        <v>19</v>
      </c>
      <c r="E299" t="s">
        <v>40</v>
      </c>
      <c r="F299">
        <v>7965</v>
      </c>
      <c r="G299">
        <v>8</v>
      </c>
      <c r="H299" t="s">
        <v>21</v>
      </c>
      <c r="I299" t="s">
        <v>22</v>
      </c>
      <c r="J299">
        <v>3</v>
      </c>
      <c r="K299">
        <v>3</v>
      </c>
      <c r="L299" t="s">
        <v>23</v>
      </c>
      <c r="M299">
        <v>2</v>
      </c>
      <c r="N299">
        <v>6</v>
      </c>
      <c r="O299">
        <v>6</v>
      </c>
      <c r="P299">
        <v>4</v>
      </c>
      <c r="Q299" t="s">
        <v>27</v>
      </c>
    </row>
    <row r="300" spans="1:17" x14ac:dyDescent="0.3">
      <c r="A300" t="s">
        <v>345</v>
      </c>
      <c r="B300">
        <v>26</v>
      </c>
      <c r="C300" t="s">
        <v>18</v>
      </c>
      <c r="D300" t="s">
        <v>25</v>
      </c>
      <c r="E300" t="s">
        <v>26</v>
      </c>
      <c r="F300">
        <v>9844</v>
      </c>
      <c r="G300">
        <v>5</v>
      </c>
      <c r="H300" t="s">
        <v>37</v>
      </c>
      <c r="I300" t="s">
        <v>31</v>
      </c>
      <c r="J300">
        <v>1</v>
      </c>
      <c r="K300">
        <v>4</v>
      </c>
      <c r="L300" t="s">
        <v>27</v>
      </c>
      <c r="M300">
        <v>4</v>
      </c>
      <c r="N300">
        <v>4</v>
      </c>
      <c r="O300">
        <v>0</v>
      </c>
      <c r="P300">
        <v>3</v>
      </c>
      <c r="Q300" t="s">
        <v>23</v>
      </c>
    </row>
    <row r="301" spans="1:17" x14ac:dyDescent="0.3">
      <c r="A301" t="s">
        <v>346</v>
      </c>
      <c r="B301">
        <v>30</v>
      </c>
      <c r="C301" t="s">
        <v>35</v>
      </c>
      <c r="D301" t="s">
        <v>74</v>
      </c>
      <c r="E301" t="s">
        <v>99</v>
      </c>
      <c r="F301">
        <v>8628</v>
      </c>
      <c r="G301">
        <v>0</v>
      </c>
      <c r="H301" t="s">
        <v>37</v>
      </c>
      <c r="I301" t="s">
        <v>56</v>
      </c>
      <c r="J301">
        <v>2</v>
      </c>
      <c r="K301">
        <v>3</v>
      </c>
      <c r="L301" t="s">
        <v>27</v>
      </c>
      <c r="M301">
        <v>3</v>
      </c>
      <c r="N301">
        <v>29</v>
      </c>
      <c r="O301">
        <v>3</v>
      </c>
      <c r="P301">
        <v>2</v>
      </c>
      <c r="Q301" t="s">
        <v>23</v>
      </c>
    </row>
    <row r="302" spans="1:17" x14ac:dyDescent="0.3">
      <c r="A302" t="s">
        <v>347</v>
      </c>
      <c r="B302">
        <v>41</v>
      </c>
      <c r="C302" t="s">
        <v>18</v>
      </c>
      <c r="D302" t="s">
        <v>44</v>
      </c>
      <c r="E302" t="s">
        <v>54</v>
      </c>
      <c r="F302">
        <v>14293</v>
      </c>
      <c r="G302">
        <v>10</v>
      </c>
      <c r="H302" t="s">
        <v>37</v>
      </c>
      <c r="I302" t="s">
        <v>31</v>
      </c>
      <c r="J302">
        <v>3</v>
      </c>
      <c r="K302">
        <v>3</v>
      </c>
      <c r="L302" t="s">
        <v>27</v>
      </c>
      <c r="M302">
        <v>3</v>
      </c>
      <c r="N302">
        <v>20</v>
      </c>
      <c r="O302">
        <v>1</v>
      </c>
      <c r="P302">
        <v>2</v>
      </c>
      <c r="Q302" t="s">
        <v>27</v>
      </c>
    </row>
    <row r="303" spans="1:17" x14ac:dyDescent="0.3">
      <c r="A303" t="s">
        <v>348</v>
      </c>
      <c r="B303">
        <v>41</v>
      </c>
      <c r="C303" t="s">
        <v>35</v>
      </c>
      <c r="D303" t="s">
        <v>25</v>
      </c>
      <c r="E303" t="s">
        <v>20</v>
      </c>
      <c r="F303">
        <v>13777</v>
      </c>
      <c r="G303">
        <v>4</v>
      </c>
      <c r="H303" t="s">
        <v>21</v>
      </c>
      <c r="I303" t="s">
        <v>31</v>
      </c>
      <c r="J303">
        <v>4</v>
      </c>
      <c r="K303">
        <v>3</v>
      </c>
      <c r="L303" t="s">
        <v>23</v>
      </c>
      <c r="M303">
        <v>3</v>
      </c>
      <c r="N303">
        <v>17</v>
      </c>
      <c r="O303">
        <v>0</v>
      </c>
      <c r="P303">
        <v>3</v>
      </c>
      <c r="Q303" t="s">
        <v>27</v>
      </c>
    </row>
    <row r="304" spans="1:17" x14ac:dyDescent="0.3">
      <c r="A304" t="s">
        <v>349</v>
      </c>
      <c r="B304">
        <v>28</v>
      </c>
      <c r="C304" t="s">
        <v>18</v>
      </c>
      <c r="D304" t="s">
        <v>74</v>
      </c>
      <c r="E304" t="s">
        <v>99</v>
      </c>
      <c r="F304">
        <v>6984</v>
      </c>
      <c r="G304">
        <v>1</v>
      </c>
      <c r="H304" t="s">
        <v>21</v>
      </c>
      <c r="I304" t="s">
        <v>22</v>
      </c>
      <c r="J304">
        <v>2</v>
      </c>
      <c r="K304">
        <v>3</v>
      </c>
      <c r="L304" t="s">
        <v>27</v>
      </c>
      <c r="M304">
        <v>2</v>
      </c>
      <c r="N304">
        <v>3</v>
      </c>
      <c r="O304">
        <v>1</v>
      </c>
      <c r="P304">
        <v>3</v>
      </c>
      <c r="Q304" t="s">
        <v>27</v>
      </c>
    </row>
    <row r="305" spans="1:17" x14ac:dyDescent="0.3">
      <c r="A305" t="s">
        <v>350</v>
      </c>
      <c r="B305">
        <v>39</v>
      </c>
      <c r="C305" t="s">
        <v>18</v>
      </c>
      <c r="D305" t="s">
        <v>25</v>
      </c>
      <c r="E305" t="s">
        <v>26</v>
      </c>
      <c r="F305">
        <v>6850</v>
      </c>
      <c r="G305">
        <v>1</v>
      </c>
      <c r="H305" t="s">
        <v>46</v>
      </c>
      <c r="I305" t="s">
        <v>31</v>
      </c>
      <c r="J305">
        <v>4</v>
      </c>
      <c r="K305">
        <v>1</v>
      </c>
      <c r="L305" t="s">
        <v>27</v>
      </c>
      <c r="M305">
        <v>3</v>
      </c>
      <c r="N305">
        <v>22</v>
      </c>
      <c r="O305">
        <v>4</v>
      </c>
      <c r="P305">
        <v>2</v>
      </c>
      <c r="Q305" t="s">
        <v>27</v>
      </c>
    </row>
    <row r="306" spans="1:17" x14ac:dyDescent="0.3">
      <c r="A306" t="s">
        <v>351</v>
      </c>
      <c r="B306">
        <v>32</v>
      </c>
      <c r="C306" t="s">
        <v>35</v>
      </c>
      <c r="D306" t="s">
        <v>19</v>
      </c>
      <c r="E306" t="s">
        <v>40</v>
      </c>
      <c r="F306">
        <v>8810</v>
      </c>
      <c r="G306">
        <v>3</v>
      </c>
      <c r="H306" t="s">
        <v>37</v>
      </c>
      <c r="I306" t="s">
        <v>22</v>
      </c>
      <c r="J306">
        <v>1</v>
      </c>
      <c r="K306">
        <v>2</v>
      </c>
      <c r="L306" t="s">
        <v>23</v>
      </c>
      <c r="M306">
        <v>3</v>
      </c>
      <c r="N306">
        <v>20</v>
      </c>
      <c r="O306">
        <v>6</v>
      </c>
      <c r="P306">
        <v>4</v>
      </c>
      <c r="Q306" t="s">
        <v>27</v>
      </c>
    </row>
    <row r="307" spans="1:17" x14ac:dyDescent="0.3">
      <c r="A307" t="s">
        <v>352</v>
      </c>
      <c r="B307">
        <v>35</v>
      </c>
      <c r="C307" t="s">
        <v>18</v>
      </c>
      <c r="D307" t="s">
        <v>19</v>
      </c>
      <c r="E307" t="s">
        <v>36</v>
      </c>
      <c r="F307">
        <v>9988</v>
      </c>
      <c r="G307">
        <v>4</v>
      </c>
      <c r="H307" t="s">
        <v>37</v>
      </c>
      <c r="I307" t="s">
        <v>31</v>
      </c>
      <c r="J307">
        <v>4</v>
      </c>
      <c r="K307">
        <v>1</v>
      </c>
      <c r="L307" t="s">
        <v>23</v>
      </c>
      <c r="M307">
        <v>2</v>
      </c>
      <c r="N307">
        <v>18</v>
      </c>
      <c r="O307">
        <v>5</v>
      </c>
      <c r="P307">
        <v>2</v>
      </c>
      <c r="Q307" t="s">
        <v>27</v>
      </c>
    </row>
    <row r="308" spans="1:17" x14ac:dyDescent="0.3">
      <c r="A308" t="s">
        <v>353</v>
      </c>
      <c r="B308">
        <v>21</v>
      </c>
      <c r="C308" t="s">
        <v>18</v>
      </c>
      <c r="D308" t="s">
        <v>44</v>
      </c>
      <c r="E308" t="s">
        <v>54</v>
      </c>
      <c r="F308">
        <v>9423</v>
      </c>
      <c r="G308">
        <v>3</v>
      </c>
      <c r="H308" t="s">
        <v>37</v>
      </c>
      <c r="I308" t="s">
        <v>22</v>
      </c>
      <c r="J308">
        <v>4</v>
      </c>
      <c r="K308">
        <v>2</v>
      </c>
      <c r="L308" t="s">
        <v>27</v>
      </c>
      <c r="M308">
        <v>3</v>
      </c>
      <c r="N308">
        <v>13</v>
      </c>
      <c r="O308">
        <v>2</v>
      </c>
      <c r="P308">
        <v>4</v>
      </c>
      <c r="Q308" t="s">
        <v>27</v>
      </c>
    </row>
    <row r="309" spans="1:17" x14ac:dyDescent="0.3">
      <c r="A309" t="s">
        <v>354</v>
      </c>
      <c r="B309">
        <v>39</v>
      </c>
      <c r="C309" t="s">
        <v>18</v>
      </c>
      <c r="D309" t="s">
        <v>19</v>
      </c>
      <c r="E309" t="s">
        <v>40</v>
      </c>
      <c r="F309">
        <v>11071</v>
      </c>
      <c r="G309">
        <v>9</v>
      </c>
      <c r="H309" t="s">
        <v>37</v>
      </c>
      <c r="I309" t="s">
        <v>56</v>
      </c>
      <c r="J309">
        <v>1</v>
      </c>
      <c r="K309">
        <v>3</v>
      </c>
      <c r="L309" t="s">
        <v>23</v>
      </c>
      <c r="M309">
        <v>3</v>
      </c>
      <c r="N309">
        <v>17</v>
      </c>
      <c r="O309">
        <v>0</v>
      </c>
      <c r="P309">
        <v>2</v>
      </c>
      <c r="Q309" t="s">
        <v>27</v>
      </c>
    </row>
    <row r="310" spans="1:17" x14ac:dyDescent="0.3">
      <c r="A310" t="s">
        <v>355</v>
      </c>
      <c r="B310">
        <v>39</v>
      </c>
      <c r="C310" t="s">
        <v>35</v>
      </c>
      <c r="D310" t="s">
        <v>70</v>
      </c>
      <c r="E310" t="s">
        <v>71</v>
      </c>
      <c r="F310">
        <v>5910</v>
      </c>
      <c r="G310">
        <v>0</v>
      </c>
      <c r="H310" t="s">
        <v>21</v>
      </c>
      <c r="I310" t="s">
        <v>56</v>
      </c>
      <c r="J310">
        <v>3</v>
      </c>
      <c r="K310">
        <v>1</v>
      </c>
      <c r="L310" t="s">
        <v>27</v>
      </c>
      <c r="M310">
        <v>2</v>
      </c>
      <c r="N310">
        <v>30</v>
      </c>
      <c r="O310">
        <v>6</v>
      </c>
      <c r="P310">
        <v>4</v>
      </c>
      <c r="Q310" t="s">
        <v>27</v>
      </c>
    </row>
    <row r="311" spans="1:17" x14ac:dyDescent="0.3">
      <c r="A311" t="s">
        <v>356</v>
      </c>
      <c r="B311">
        <v>46</v>
      </c>
      <c r="C311" t="s">
        <v>35</v>
      </c>
      <c r="D311" t="s">
        <v>29</v>
      </c>
      <c r="E311" t="s">
        <v>30</v>
      </c>
      <c r="F311">
        <v>14443</v>
      </c>
      <c r="G311">
        <v>22</v>
      </c>
      <c r="H311" t="s">
        <v>33</v>
      </c>
      <c r="I311" t="s">
        <v>31</v>
      </c>
      <c r="J311">
        <v>3</v>
      </c>
      <c r="K311">
        <v>1</v>
      </c>
      <c r="L311" t="s">
        <v>27</v>
      </c>
      <c r="M311">
        <v>3</v>
      </c>
      <c r="N311">
        <v>12</v>
      </c>
      <c r="O311">
        <v>6</v>
      </c>
      <c r="P311">
        <v>4</v>
      </c>
      <c r="Q311" t="s">
        <v>27</v>
      </c>
    </row>
    <row r="312" spans="1:17" x14ac:dyDescent="0.3">
      <c r="A312" t="s">
        <v>357</v>
      </c>
      <c r="B312">
        <v>33</v>
      </c>
      <c r="C312" t="s">
        <v>35</v>
      </c>
      <c r="D312" t="s">
        <v>25</v>
      </c>
      <c r="E312" t="s">
        <v>26</v>
      </c>
      <c r="F312">
        <v>8709</v>
      </c>
      <c r="G312">
        <v>1</v>
      </c>
      <c r="H312" t="s">
        <v>37</v>
      </c>
      <c r="I312" t="s">
        <v>31</v>
      </c>
      <c r="J312">
        <v>1</v>
      </c>
      <c r="K312">
        <v>3</v>
      </c>
      <c r="L312" t="s">
        <v>27</v>
      </c>
      <c r="M312">
        <v>3</v>
      </c>
      <c r="N312">
        <v>20</v>
      </c>
      <c r="O312">
        <v>5</v>
      </c>
      <c r="P312">
        <v>4</v>
      </c>
      <c r="Q312" t="s">
        <v>27</v>
      </c>
    </row>
    <row r="313" spans="1:17" x14ac:dyDescent="0.3">
      <c r="A313" t="s">
        <v>358</v>
      </c>
      <c r="B313">
        <v>21</v>
      </c>
      <c r="C313" t="s">
        <v>18</v>
      </c>
      <c r="D313" t="s">
        <v>70</v>
      </c>
      <c r="E313" t="s">
        <v>71</v>
      </c>
      <c r="F313">
        <v>8698</v>
      </c>
      <c r="G313">
        <v>3</v>
      </c>
      <c r="H313" t="s">
        <v>37</v>
      </c>
      <c r="I313" t="s">
        <v>31</v>
      </c>
      <c r="J313">
        <v>3</v>
      </c>
      <c r="K313">
        <v>2</v>
      </c>
      <c r="L313" t="s">
        <v>27</v>
      </c>
      <c r="M313">
        <v>2</v>
      </c>
      <c r="N313">
        <v>11</v>
      </c>
      <c r="O313">
        <v>4</v>
      </c>
      <c r="P313">
        <v>1</v>
      </c>
      <c r="Q313" t="s">
        <v>23</v>
      </c>
    </row>
    <row r="314" spans="1:17" x14ac:dyDescent="0.3">
      <c r="A314" t="s">
        <v>359</v>
      </c>
      <c r="B314">
        <v>36</v>
      </c>
      <c r="C314" t="s">
        <v>35</v>
      </c>
      <c r="D314" t="s">
        <v>74</v>
      </c>
      <c r="E314" t="s">
        <v>75</v>
      </c>
      <c r="F314">
        <v>5144</v>
      </c>
      <c r="G314">
        <v>3</v>
      </c>
      <c r="H314" t="s">
        <v>33</v>
      </c>
      <c r="I314" t="s">
        <v>31</v>
      </c>
      <c r="J314">
        <v>3</v>
      </c>
      <c r="K314">
        <v>2</v>
      </c>
      <c r="L314" t="s">
        <v>27</v>
      </c>
      <c r="M314">
        <v>3</v>
      </c>
      <c r="N314">
        <v>9</v>
      </c>
      <c r="O314">
        <v>3</v>
      </c>
      <c r="P314">
        <v>4</v>
      </c>
      <c r="Q314" t="s">
        <v>23</v>
      </c>
    </row>
    <row r="315" spans="1:17" x14ac:dyDescent="0.3">
      <c r="A315" t="s">
        <v>360</v>
      </c>
      <c r="B315">
        <v>37</v>
      </c>
      <c r="C315" t="s">
        <v>18</v>
      </c>
      <c r="D315" t="s">
        <v>25</v>
      </c>
      <c r="E315" t="s">
        <v>26</v>
      </c>
      <c r="F315">
        <v>7526</v>
      </c>
      <c r="G315">
        <v>3</v>
      </c>
      <c r="H315" t="s">
        <v>37</v>
      </c>
      <c r="I315" t="s">
        <v>22</v>
      </c>
      <c r="J315">
        <v>3</v>
      </c>
      <c r="K315">
        <v>4</v>
      </c>
      <c r="L315" t="s">
        <v>27</v>
      </c>
      <c r="M315">
        <v>3</v>
      </c>
      <c r="N315">
        <v>17</v>
      </c>
      <c r="O315">
        <v>1</v>
      </c>
      <c r="P315">
        <v>4</v>
      </c>
      <c r="Q315" t="s">
        <v>27</v>
      </c>
    </row>
    <row r="316" spans="1:17" x14ac:dyDescent="0.3">
      <c r="A316" t="s">
        <v>361</v>
      </c>
      <c r="B316">
        <v>42</v>
      </c>
      <c r="C316" t="s">
        <v>18</v>
      </c>
      <c r="D316" t="s">
        <v>44</v>
      </c>
      <c r="E316" t="s">
        <v>45</v>
      </c>
      <c r="F316">
        <v>8748</v>
      </c>
      <c r="G316">
        <v>2</v>
      </c>
      <c r="H316" t="s">
        <v>37</v>
      </c>
      <c r="I316" t="s">
        <v>56</v>
      </c>
      <c r="J316">
        <v>3</v>
      </c>
      <c r="K316">
        <v>1</v>
      </c>
      <c r="L316" t="s">
        <v>27</v>
      </c>
      <c r="M316">
        <v>3</v>
      </c>
      <c r="N316">
        <v>16</v>
      </c>
      <c r="O316">
        <v>0</v>
      </c>
      <c r="P316">
        <v>1</v>
      </c>
      <c r="Q316" t="s">
        <v>27</v>
      </c>
    </row>
    <row r="317" spans="1:17" x14ac:dyDescent="0.3">
      <c r="A317" t="s">
        <v>362</v>
      </c>
      <c r="B317">
        <v>24</v>
      </c>
      <c r="C317" t="s">
        <v>18</v>
      </c>
      <c r="D317" t="s">
        <v>70</v>
      </c>
      <c r="E317" t="s">
        <v>20</v>
      </c>
      <c r="F317">
        <v>13857</v>
      </c>
      <c r="G317">
        <v>2</v>
      </c>
      <c r="H317" t="s">
        <v>37</v>
      </c>
      <c r="I317" t="s">
        <v>22</v>
      </c>
      <c r="J317">
        <v>1</v>
      </c>
      <c r="K317">
        <v>3</v>
      </c>
      <c r="L317" t="s">
        <v>27</v>
      </c>
      <c r="M317">
        <v>3</v>
      </c>
      <c r="N317">
        <v>11</v>
      </c>
      <c r="O317">
        <v>6</v>
      </c>
      <c r="P317">
        <v>1</v>
      </c>
      <c r="Q317" t="s">
        <v>27</v>
      </c>
    </row>
    <row r="318" spans="1:17" x14ac:dyDescent="0.3">
      <c r="A318" t="s">
        <v>363</v>
      </c>
      <c r="B318">
        <v>26</v>
      </c>
      <c r="C318" t="s">
        <v>35</v>
      </c>
      <c r="D318" t="s">
        <v>25</v>
      </c>
      <c r="E318" t="s">
        <v>26</v>
      </c>
      <c r="F318">
        <v>6496</v>
      </c>
      <c r="G318">
        <v>0</v>
      </c>
      <c r="H318" t="s">
        <v>21</v>
      </c>
      <c r="I318" t="s">
        <v>31</v>
      </c>
      <c r="J318">
        <v>4</v>
      </c>
      <c r="K318">
        <v>1</v>
      </c>
      <c r="L318" t="s">
        <v>27</v>
      </c>
      <c r="M318">
        <v>3</v>
      </c>
      <c r="N318">
        <v>25</v>
      </c>
      <c r="O318">
        <v>2</v>
      </c>
      <c r="P318">
        <v>2</v>
      </c>
      <c r="Q318" t="s">
        <v>27</v>
      </c>
    </row>
    <row r="319" spans="1:17" x14ac:dyDescent="0.3">
      <c r="A319" t="s">
        <v>364</v>
      </c>
      <c r="B319">
        <v>46</v>
      </c>
      <c r="C319" t="s">
        <v>18</v>
      </c>
      <c r="D319" t="s">
        <v>19</v>
      </c>
      <c r="E319" t="s">
        <v>40</v>
      </c>
      <c r="F319">
        <v>5449</v>
      </c>
      <c r="G319">
        <v>0</v>
      </c>
      <c r="H319" t="s">
        <v>37</v>
      </c>
      <c r="I319" t="s">
        <v>22</v>
      </c>
      <c r="J319">
        <v>1</v>
      </c>
      <c r="K319">
        <v>1</v>
      </c>
      <c r="L319" t="s">
        <v>23</v>
      </c>
      <c r="M319">
        <v>3</v>
      </c>
      <c r="N319">
        <v>16</v>
      </c>
      <c r="O319">
        <v>4</v>
      </c>
      <c r="P319">
        <v>2</v>
      </c>
      <c r="Q319" t="s">
        <v>27</v>
      </c>
    </row>
    <row r="320" spans="1:17" x14ac:dyDescent="0.3">
      <c r="A320" t="s">
        <v>365</v>
      </c>
      <c r="B320">
        <v>46</v>
      </c>
      <c r="C320" t="s">
        <v>18</v>
      </c>
      <c r="D320" t="s">
        <v>70</v>
      </c>
      <c r="E320" t="s">
        <v>71</v>
      </c>
      <c r="F320">
        <v>8585</v>
      </c>
      <c r="G320">
        <v>1</v>
      </c>
      <c r="H320" t="s">
        <v>37</v>
      </c>
      <c r="I320" t="s">
        <v>31</v>
      </c>
      <c r="J320">
        <v>3</v>
      </c>
      <c r="K320">
        <v>2</v>
      </c>
      <c r="L320" t="s">
        <v>27</v>
      </c>
      <c r="M320">
        <v>2</v>
      </c>
      <c r="N320">
        <v>8</v>
      </c>
      <c r="O320">
        <v>4</v>
      </c>
      <c r="P320">
        <v>4</v>
      </c>
      <c r="Q320" t="s">
        <v>27</v>
      </c>
    </row>
    <row r="321" spans="1:17" x14ac:dyDescent="0.3">
      <c r="A321" t="s">
        <v>366</v>
      </c>
      <c r="B321">
        <v>42</v>
      </c>
      <c r="C321" t="s">
        <v>18</v>
      </c>
      <c r="D321" t="s">
        <v>70</v>
      </c>
      <c r="E321" t="s">
        <v>71</v>
      </c>
      <c r="F321">
        <v>7701</v>
      </c>
      <c r="G321">
        <v>2</v>
      </c>
      <c r="H321" t="s">
        <v>37</v>
      </c>
      <c r="I321" t="s">
        <v>31</v>
      </c>
      <c r="J321">
        <v>1</v>
      </c>
      <c r="K321">
        <v>1</v>
      </c>
      <c r="L321" t="s">
        <v>27</v>
      </c>
      <c r="M321">
        <v>3</v>
      </c>
      <c r="N321">
        <v>16</v>
      </c>
      <c r="O321">
        <v>6</v>
      </c>
      <c r="P321">
        <v>1</v>
      </c>
      <c r="Q321" t="s">
        <v>27</v>
      </c>
    </row>
    <row r="322" spans="1:17" x14ac:dyDescent="0.3">
      <c r="A322" t="s">
        <v>367</v>
      </c>
      <c r="B322">
        <v>26</v>
      </c>
      <c r="C322" t="s">
        <v>18</v>
      </c>
      <c r="D322" t="s">
        <v>44</v>
      </c>
      <c r="E322" t="s">
        <v>45</v>
      </c>
      <c r="F322">
        <v>7649</v>
      </c>
      <c r="G322">
        <v>5</v>
      </c>
      <c r="H322" t="s">
        <v>37</v>
      </c>
      <c r="I322" t="s">
        <v>31</v>
      </c>
      <c r="J322">
        <v>3</v>
      </c>
      <c r="K322">
        <v>2</v>
      </c>
      <c r="L322" t="s">
        <v>27</v>
      </c>
      <c r="M322">
        <v>3</v>
      </c>
      <c r="N322">
        <v>6</v>
      </c>
      <c r="O322">
        <v>5</v>
      </c>
      <c r="P322">
        <v>4</v>
      </c>
      <c r="Q322" t="s">
        <v>23</v>
      </c>
    </row>
    <row r="323" spans="1:17" x14ac:dyDescent="0.3">
      <c r="A323" t="s">
        <v>368</v>
      </c>
      <c r="B323">
        <v>38</v>
      </c>
      <c r="C323" t="s">
        <v>18</v>
      </c>
      <c r="D323" t="s">
        <v>44</v>
      </c>
      <c r="E323" t="s">
        <v>45</v>
      </c>
      <c r="F323">
        <v>9706</v>
      </c>
      <c r="G323">
        <v>2</v>
      </c>
      <c r="H323" t="s">
        <v>46</v>
      </c>
      <c r="I323" t="s">
        <v>22</v>
      </c>
      <c r="J323">
        <v>2</v>
      </c>
      <c r="K323">
        <v>1</v>
      </c>
      <c r="L323" t="s">
        <v>23</v>
      </c>
      <c r="M323">
        <v>2</v>
      </c>
      <c r="N323">
        <v>11</v>
      </c>
      <c r="O323">
        <v>5</v>
      </c>
      <c r="P323">
        <v>1</v>
      </c>
      <c r="Q323" t="s">
        <v>27</v>
      </c>
    </row>
    <row r="324" spans="1:17" x14ac:dyDescent="0.3">
      <c r="A324" t="s">
        <v>369</v>
      </c>
      <c r="B324">
        <v>46</v>
      </c>
      <c r="C324" t="s">
        <v>35</v>
      </c>
      <c r="D324" t="s">
        <v>25</v>
      </c>
      <c r="E324" t="s">
        <v>26</v>
      </c>
      <c r="F324">
        <v>10980</v>
      </c>
      <c r="G324">
        <v>11</v>
      </c>
      <c r="H324" t="s">
        <v>46</v>
      </c>
      <c r="I324" t="s">
        <v>22</v>
      </c>
      <c r="J324">
        <v>4</v>
      </c>
      <c r="K324">
        <v>3</v>
      </c>
      <c r="L324" t="s">
        <v>23</v>
      </c>
      <c r="M324">
        <v>3</v>
      </c>
      <c r="N324">
        <v>27</v>
      </c>
      <c r="O324">
        <v>1</v>
      </c>
      <c r="P324">
        <v>4</v>
      </c>
      <c r="Q324" t="s">
        <v>27</v>
      </c>
    </row>
    <row r="325" spans="1:17" x14ac:dyDescent="0.3">
      <c r="A325" t="s">
        <v>370</v>
      </c>
      <c r="B325">
        <v>31</v>
      </c>
      <c r="C325" t="s">
        <v>35</v>
      </c>
      <c r="D325" t="s">
        <v>44</v>
      </c>
      <c r="E325" t="s">
        <v>45</v>
      </c>
      <c r="F325">
        <v>6888</v>
      </c>
      <c r="G325">
        <v>1</v>
      </c>
      <c r="H325" t="s">
        <v>21</v>
      </c>
      <c r="I325" t="s">
        <v>31</v>
      </c>
      <c r="J325">
        <v>3</v>
      </c>
      <c r="K325">
        <v>2</v>
      </c>
      <c r="L325" t="s">
        <v>23</v>
      </c>
      <c r="M325">
        <v>3</v>
      </c>
      <c r="N325">
        <v>19</v>
      </c>
      <c r="O325">
        <v>6</v>
      </c>
      <c r="P325">
        <v>1</v>
      </c>
      <c r="Q325" t="s">
        <v>27</v>
      </c>
    </row>
    <row r="326" spans="1:17" x14ac:dyDescent="0.3">
      <c r="A326" t="s">
        <v>371</v>
      </c>
      <c r="B326">
        <v>35</v>
      </c>
      <c r="C326" t="s">
        <v>18</v>
      </c>
      <c r="D326" t="s">
        <v>74</v>
      </c>
      <c r="E326" t="s">
        <v>75</v>
      </c>
      <c r="F326">
        <v>9617</v>
      </c>
      <c r="G326">
        <v>2</v>
      </c>
      <c r="H326" t="s">
        <v>37</v>
      </c>
      <c r="I326" t="s">
        <v>31</v>
      </c>
      <c r="J326">
        <v>3</v>
      </c>
      <c r="K326">
        <v>1</v>
      </c>
      <c r="L326" t="s">
        <v>23</v>
      </c>
      <c r="M326">
        <v>2</v>
      </c>
      <c r="N326">
        <v>10</v>
      </c>
      <c r="O326">
        <v>3</v>
      </c>
      <c r="P326">
        <v>1</v>
      </c>
      <c r="Q326" t="s">
        <v>27</v>
      </c>
    </row>
    <row r="327" spans="1:17" x14ac:dyDescent="0.3">
      <c r="A327" t="s">
        <v>372</v>
      </c>
      <c r="B327">
        <v>27</v>
      </c>
      <c r="C327" t="s">
        <v>18</v>
      </c>
      <c r="D327" t="s">
        <v>44</v>
      </c>
      <c r="E327" t="s">
        <v>20</v>
      </c>
      <c r="F327">
        <v>11230</v>
      </c>
      <c r="G327">
        <v>3</v>
      </c>
      <c r="H327" t="s">
        <v>37</v>
      </c>
      <c r="I327" t="s">
        <v>22</v>
      </c>
      <c r="J327">
        <v>3</v>
      </c>
      <c r="K327">
        <v>1</v>
      </c>
      <c r="L327" t="s">
        <v>23</v>
      </c>
      <c r="M327">
        <v>3</v>
      </c>
      <c r="N327">
        <v>16</v>
      </c>
      <c r="O327">
        <v>4</v>
      </c>
      <c r="P327">
        <v>3</v>
      </c>
      <c r="Q327" t="s">
        <v>27</v>
      </c>
    </row>
    <row r="328" spans="1:17" x14ac:dyDescent="0.3">
      <c r="A328" t="s">
        <v>373</v>
      </c>
      <c r="B328">
        <v>18</v>
      </c>
      <c r="C328" t="s">
        <v>18</v>
      </c>
      <c r="D328" t="s">
        <v>44</v>
      </c>
      <c r="E328" t="s">
        <v>54</v>
      </c>
      <c r="F328">
        <v>8932</v>
      </c>
      <c r="G328">
        <v>0</v>
      </c>
      <c r="H328" t="s">
        <v>21</v>
      </c>
      <c r="I328" t="s">
        <v>31</v>
      </c>
      <c r="J328">
        <v>4</v>
      </c>
      <c r="K328">
        <v>2</v>
      </c>
      <c r="L328" t="s">
        <v>27</v>
      </c>
      <c r="M328">
        <v>3</v>
      </c>
      <c r="N328">
        <v>18</v>
      </c>
      <c r="O328">
        <v>3</v>
      </c>
      <c r="P328">
        <v>1</v>
      </c>
      <c r="Q328" t="s">
        <v>27</v>
      </c>
    </row>
    <row r="329" spans="1:17" x14ac:dyDescent="0.3">
      <c r="A329" t="s">
        <v>374</v>
      </c>
      <c r="B329">
        <v>42</v>
      </c>
      <c r="C329" t="s">
        <v>35</v>
      </c>
      <c r="D329" t="s">
        <v>25</v>
      </c>
      <c r="E329" t="s">
        <v>26</v>
      </c>
      <c r="F329">
        <v>8159</v>
      </c>
      <c r="G329">
        <v>0</v>
      </c>
      <c r="H329" t="s">
        <v>37</v>
      </c>
      <c r="I329" t="s">
        <v>31</v>
      </c>
      <c r="J329">
        <v>2</v>
      </c>
      <c r="K329">
        <v>1</v>
      </c>
      <c r="L329" t="s">
        <v>23</v>
      </c>
      <c r="M329">
        <v>3</v>
      </c>
      <c r="N329">
        <v>27</v>
      </c>
      <c r="O329">
        <v>3</v>
      </c>
      <c r="P329">
        <v>3</v>
      </c>
      <c r="Q329" t="s">
        <v>27</v>
      </c>
    </row>
    <row r="330" spans="1:17" x14ac:dyDescent="0.3">
      <c r="A330" t="s">
        <v>375</v>
      </c>
      <c r="B330">
        <v>31</v>
      </c>
      <c r="C330" t="s">
        <v>35</v>
      </c>
      <c r="D330" t="s">
        <v>19</v>
      </c>
      <c r="E330" t="s">
        <v>36</v>
      </c>
      <c r="F330">
        <v>12455</v>
      </c>
      <c r="G330">
        <v>13</v>
      </c>
      <c r="H330" t="s">
        <v>46</v>
      </c>
      <c r="I330" t="s">
        <v>22</v>
      </c>
      <c r="J330">
        <v>4</v>
      </c>
      <c r="K330">
        <v>3</v>
      </c>
      <c r="L330" t="s">
        <v>27</v>
      </c>
      <c r="M330">
        <v>3</v>
      </c>
      <c r="N330">
        <v>24</v>
      </c>
      <c r="O330">
        <v>6</v>
      </c>
      <c r="P330">
        <v>2</v>
      </c>
      <c r="Q330" t="s">
        <v>27</v>
      </c>
    </row>
    <row r="331" spans="1:17" x14ac:dyDescent="0.3">
      <c r="A331" t="s">
        <v>376</v>
      </c>
      <c r="B331">
        <v>22</v>
      </c>
      <c r="C331" t="s">
        <v>18</v>
      </c>
      <c r="D331" t="s">
        <v>74</v>
      </c>
      <c r="E331" t="s">
        <v>99</v>
      </c>
      <c r="F331">
        <v>13061</v>
      </c>
      <c r="G331">
        <v>4</v>
      </c>
      <c r="H331" t="s">
        <v>21</v>
      </c>
      <c r="I331" t="s">
        <v>31</v>
      </c>
      <c r="J331">
        <v>3</v>
      </c>
      <c r="K331">
        <v>1</v>
      </c>
      <c r="L331" t="s">
        <v>27</v>
      </c>
      <c r="M331">
        <v>3</v>
      </c>
      <c r="N331">
        <v>11</v>
      </c>
      <c r="O331">
        <v>2</v>
      </c>
      <c r="P331">
        <v>3</v>
      </c>
      <c r="Q331" t="s">
        <v>27</v>
      </c>
    </row>
    <row r="332" spans="1:17" x14ac:dyDescent="0.3">
      <c r="A332" t="s">
        <v>377</v>
      </c>
      <c r="B332">
        <v>36</v>
      </c>
      <c r="C332" t="s">
        <v>18</v>
      </c>
      <c r="D332" t="s">
        <v>25</v>
      </c>
      <c r="E332" t="s">
        <v>26</v>
      </c>
      <c r="F332">
        <v>6390</v>
      </c>
      <c r="G332">
        <v>0</v>
      </c>
      <c r="H332" t="s">
        <v>21</v>
      </c>
      <c r="I332" t="s">
        <v>56</v>
      </c>
      <c r="J332">
        <v>2</v>
      </c>
      <c r="K332">
        <v>3</v>
      </c>
      <c r="L332" t="s">
        <v>27</v>
      </c>
      <c r="M332">
        <v>3</v>
      </c>
      <c r="N332">
        <v>28</v>
      </c>
      <c r="O332">
        <v>3</v>
      </c>
      <c r="P332">
        <v>3</v>
      </c>
      <c r="Q332" t="s">
        <v>27</v>
      </c>
    </row>
    <row r="333" spans="1:17" x14ac:dyDescent="0.3">
      <c r="A333" t="s">
        <v>378</v>
      </c>
      <c r="B333">
        <v>31</v>
      </c>
      <c r="C333" t="s">
        <v>35</v>
      </c>
      <c r="D333" t="s">
        <v>25</v>
      </c>
      <c r="E333" t="s">
        <v>61</v>
      </c>
      <c r="F333">
        <v>5924</v>
      </c>
      <c r="G333">
        <v>3</v>
      </c>
      <c r="H333" t="s">
        <v>37</v>
      </c>
      <c r="I333" t="s">
        <v>22</v>
      </c>
      <c r="J333">
        <v>1</v>
      </c>
      <c r="K333">
        <v>2</v>
      </c>
      <c r="L333" t="s">
        <v>27</v>
      </c>
      <c r="M333">
        <v>4</v>
      </c>
      <c r="N333">
        <v>16</v>
      </c>
      <c r="O333">
        <v>3</v>
      </c>
      <c r="P333">
        <v>4</v>
      </c>
      <c r="Q333" t="s">
        <v>27</v>
      </c>
    </row>
    <row r="334" spans="1:17" x14ac:dyDescent="0.3">
      <c r="A334" t="s">
        <v>379</v>
      </c>
      <c r="B334">
        <v>29</v>
      </c>
      <c r="C334" t="s">
        <v>35</v>
      </c>
      <c r="D334" t="s">
        <v>44</v>
      </c>
      <c r="E334" t="s">
        <v>20</v>
      </c>
      <c r="F334">
        <v>11137</v>
      </c>
      <c r="G334">
        <v>5</v>
      </c>
      <c r="H334" t="s">
        <v>37</v>
      </c>
      <c r="I334" t="s">
        <v>31</v>
      </c>
      <c r="J334">
        <v>3</v>
      </c>
      <c r="K334">
        <v>3</v>
      </c>
      <c r="L334" t="s">
        <v>27</v>
      </c>
      <c r="M334">
        <v>3</v>
      </c>
      <c r="N334">
        <v>11</v>
      </c>
      <c r="O334">
        <v>1</v>
      </c>
      <c r="P334">
        <v>3</v>
      </c>
      <c r="Q334" t="s">
        <v>27</v>
      </c>
    </row>
    <row r="335" spans="1:17" x14ac:dyDescent="0.3">
      <c r="A335" t="s">
        <v>380</v>
      </c>
      <c r="B335">
        <v>43</v>
      </c>
      <c r="C335" t="s">
        <v>35</v>
      </c>
      <c r="D335" t="s">
        <v>70</v>
      </c>
      <c r="E335" t="s">
        <v>71</v>
      </c>
      <c r="F335">
        <v>7176</v>
      </c>
      <c r="G335">
        <v>4</v>
      </c>
      <c r="H335" t="s">
        <v>37</v>
      </c>
      <c r="I335" t="s">
        <v>22</v>
      </c>
      <c r="J335">
        <v>2</v>
      </c>
      <c r="K335">
        <v>3</v>
      </c>
      <c r="L335" t="s">
        <v>27</v>
      </c>
      <c r="M335">
        <v>3</v>
      </c>
      <c r="N335">
        <v>21</v>
      </c>
      <c r="O335">
        <v>1</v>
      </c>
      <c r="P335">
        <v>4</v>
      </c>
      <c r="Q335" t="s">
        <v>27</v>
      </c>
    </row>
    <row r="336" spans="1:17" x14ac:dyDescent="0.3">
      <c r="A336" t="s">
        <v>381</v>
      </c>
      <c r="B336">
        <v>26</v>
      </c>
      <c r="C336" t="s">
        <v>18</v>
      </c>
      <c r="D336" t="s">
        <v>44</v>
      </c>
      <c r="E336" t="s">
        <v>45</v>
      </c>
      <c r="F336">
        <v>7971</v>
      </c>
      <c r="G336">
        <v>1</v>
      </c>
      <c r="H336" t="s">
        <v>37</v>
      </c>
      <c r="I336" t="s">
        <v>31</v>
      </c>
      <c r="J336">
        <v>1</v>
      </c>
      <c r="K336">
        <v>2</v>
      </c>
      <c r="L336" t="s">
        <v>27</v>
      </c>
      <c r="M336">
        <v>3</v>
      </c>
      <c r="N336">
        <v>6</v>
      </c>
      <c r="O336">
        <v>4</v>
      </c>
      <c r="P336">
        <v>3</v>
      </c>
      <c r="Q336" t="s">
        <v>27</v>
      </c>
    </row>
    <row r="337" spans="1:17" x14ac:dyDescent="0.3">
      <c r="A337" t="s">
        <v>382</v>
      </c>
      <c r="B337">
        <v>26</v>
      </c>
      <c r="C337" t="s">
        <v>35</v>
      </c>
      <c r="D337" t="s">
        <v>25</v>
      </c>
      <c r="E337" t="s">
        <v>26</v>
      </c>
      <c r="F337">
        <v>8980</v>
      </c>
      <c r="G337">
        <v>0</v>
      </c>
      <c r="H337" t="s">
        <v>37</v>
      </c>
      <c r="I337" t="s">
        <v>31</v>
      </c>
      <c r="J337">
        <v>3</v>
      </c>
      <c r="K337">
        <v>2</v>
      </c>
      <c r="L337" t="s">
        <v>27</v>
      </c>
      <c r="M337">
        <v>3</v>
      </c>
      <c r="N337">
        <v>17</v>
      </c>
      <c r="O337">
        <v>3</v>
      </c>
      <c r="P337">
        <v>2</v>
      </c>
      <c r="Q337" t="s">
        <v>27</v>
      </c>
    </row>
    <row r="338" spans="1:17" x14ac:dyDescent="0.3">
      <c r="A338" t="s">
        <v>383</v>
      </c>
      <c r="B338">
        <v>25</v>
      </c>
      <c r="C338" t="s">
        <v>18</v>
      </c>
      <c r="D338" t="s">
        <v>74</v>
      </c>
      <c r="E338" t="s">
        <v>99</v>
      </c>
      <c r="F338">
        <v>5398</v>
      </c>
      <c r="G338">
        <v>1</v>
      </c>
      <c r="H338" t="s">
        <v>37</v>
      </c>
      <c r="I338" t="s">
        <v>22</v>
      </c>
      <c r="J338">
        <v>1</v>
      </c>
      <c r="K338">
        <v>2</v>
      </c>
      <c r="L338" t="s">
        <v>23</v>
      </c>
      <c r="M338">
        <v>3</v>
      </c>
      <c r="N338">
        <v>18</v>
      </c>
      <c r="O338">
        <v>1</v>
      </c>
      <c r="P338">
        <v>1</v>
      </c>
      <c r="Q338" t="s">
        <v>27</v>
      </c>
    </row>
    <row r="339" spans="1:17" x14ac:dyDescent="0.3">
      <c r="A339" t="s">
        <v>384</v>
      </c>
      <c r="B339">
        <v>41</v>
      </c>
      <c r="C339" t="s">
        <v>35</v>
      </c>
      <c r="D339" t="s">
        <v>74</v>
      </c>
      <c r="E339" t="s">
        <v>75</v>
      </c>
      <c r="F339">
        <v>10548</v>
      </c>
      <c r="G339">
        <v>6</v>
      </c>
      <c r="H339" t="s">
        <v>21</v>
      </c>
      <c r="I339" t="s">
        <v>56</v>
      </c>
      <c r="J339">
        <v>2</v>
      </c>
      <c r="K339">
        <v>4</v>
      </c>
      <c r="L339" t="s">
        <v>23</v>
      </c>
      <c r="M339">
        <v>3</v>
      </c>
      <c r="N339">
        <v>15</v>
      </c>
      <c r="O339">
        <v>3</v>
      </c>
      <c r="P339">
        <v>3</v>
      </c>
      <c r="Q339" t="s">
        <v>27</v>
      </c>
    </row>
    <row r="340" spans="1:17" x14ac:dyDescent="0.3">
      <c r="A340" t="s">
        <v>385</v>
      </c>
      <c r="B340">
        <v>33</v>
      </c>
      <c r="C340" t="s">
        <v>35</v>
      </c>
      <c r="D340" t="s">
        <v>25</v>
      </c>
      <c r="E340" t="s">
        <v>26</v>
      </c>
      <c r="F340">
        <v>10098</v>
      </c>
      <c r="G340">
        <v>4</v>
      </c>
      <c r="H340" t="s">
        <v>21</v>
      </c>
      <c r="I340" t="s">
        <v>22</v>
      </c>
      <c r="J340">
        <v>2</v>
      </c>
      <c r="K340">
        <v>3</v>
      </c>
      <c r="L340" t="s">
        <v>27</v>
      </c>
      <c r="M340">
        <v>4</v>
      </c>
      <c r="N340">
        <v>10</v>
      </c>
      <c r="O340">
        <v>4</v>
      </c>
      <c r="P340">
        <v>2</v>
      </c>
      <c r="Q340" t="s">
        <v>27</v>
      </c>
    </row>
    <row r="341" spans="1:17" x14ac:dyDescent="0.3">
      <c r="A341" t="s">
        <v>386</v>
      </c>
      <c r="B341">
        <v>27</v>
      </c>
      <c r="C341" t="s">
        <v>35</v>
      </c>
      <c r="D341" t="s">
        <v>25</v>
      </c>
      <c r="E341" t="s">
        <v>20</v>
      </c>
      <c r="F341">
        <v>9705</v>
      </c>
      <c r="G341">
        <v>0</v>
      </c>
      <c r="H341" t="s">
        <v>37</v>
      </c>
      <c r="I341" t="s">
        <v>31</v>
      </c>
      <c r="J341">
        <v>1</v>
      </c>
      <c r="K341">
        <v>4</v>
      </c>
      <c r="L341" t="s">
        <v>27</v>
      </c>
      <c r="M341">
        <v>3</v>
      </c>
      <c r="N341">
        <v>10</v>
      </c>
      <c r="O341">
        <v>3</v>
      </c>
      <c r="P341">
        <v>4</v>
      </c>
      <c r="Q341" t="s">
        <v>23</v>
      </c>
    </row>
    <row r="342" spans="1:17" x14ac:dyDescent="0.3">
      <c r="A342" t="s">
        <v>387</v>
      </c>
      <c r="B342">
        <v>38</v>
      </c>
      <c r="C342" t="s">
        <v>35</v>
      </c>
      <c r="D342" t="s">
        <v>25</v>
      </c>
      <c r="E342" t="s">
        <v>20</v>
      </c>
      <c r="F342">
        <v>11787</v>
      </c>
      <c r="G342">
        <v>1</v>
      </c>
      <c r="H342" t="s">
        <v>21</v>
      </c>
      <c r="I342" t="s">
        <v>31</v>
      </c>
      <c r="J342">
        <v>3</v>
      </c>
      <c r="K342">
        <v>1</v>
      </c>
      <c r="L342" t="s">
        <v>27</v>
      </c>
      <c r="M342">
        <v>3</v>
      </c>
      <c r="N342">
        <v>18</v>
      </c>
      <c r="O342">
        <v>3</v>
      </c>
      <c r="P342">
        <v>4</v>
      </c>
      <c r="Q342" t="s">
        <v>23</v>
      </c>
    </row>
    <row r="343" spans="1:17" x14ac:dyDescent="0.3">
      <c r="A343" t="s">
        <v>388</v>
      </c>
      <c r="B343">
        <v>18</v>
      </c>
      <c r="C343" t="s">
        <v>18</v>
      </c>
      <c r="D343" t="s">
        <v>70</v>
      </c>
      <c r="E343" t="s">
        <v>71</v>
      </c>
      <c r="F343">
        <v>6584</v>
      </c>
      <c r="G343">
        <v>0</v>
      </c>
      <c r="H343" t="s">
        <v>21</v>
      </c>
      <c r="I343" t="s">
        <v>56</v>
      </c>
      <c r="J343">
        <v>2</v>
      </c>
      <c r="K343">
        <v>4</v>
      </c>
      <c r="L343" t="s">
        <v>27</v>
      </c>
      <c r="M343">
        <v>2</v>
      </c>
      <c r="N343">
        <v>27</v>
      </c>
      <c r="O343">
        <v>3</v>
      </c>
      <c r="P343">
        <v>3</v>
      </c>
      <c r="Q343" t="s">
        <v>27</v>
      </c>
    </row>
    <row r="344" spans="1:17" x14ac:dyDescent="0.3">
      <c r="A344" t="s">
        <v>389</v>
      </c>
      <c r="B344">
        <v>21</v>
      </c>
      <c r="C344" t="s">
        <v>35</v>
      </c>
      <c r="D344" t="s">
        <v>19</v>
      </c>
      <c r="E344" t="s">
        <v>36</v>
      </c>
      <c r="F344">
        <v>4417</v>
      </c>
      <c r="G344">
        <v>0</v>
      </c>
      <c r="H344" t="s">
        <v>33</v>
      </c>
      <c r="I344" t="s">
        <v>56</v>
      </c>
      <c r="J344">
        <v>3</v>
      </c>
      <c r="K344">
        <v>2</v>
      </c>
      <c r="L344" t="s">
        <v>23</v>
      </c>
      <c r="M344">
        <v>3</v>
      </c>
      <c r="N344">
        <v>28</v>
      </c>
      <c r="O344">
        <v>3</v>
      </c>
      <c r="P344">
        <v>3</v>
      </c>
      <c r="Q344" t="s">
        <v>27</v>
      </c>
    </row>
    <row r="345" spans="1:17" x14ac:dyDescent="0.3">
      <c r="A345" t="s">
        <v>390</v>
      </c>
      <c r="B345">
        <v>30</v>
      </c>
      <c r="C345" t="s">
        <v>18</v>
      </c>
      <c r="D345" t="s">
        <v>74</v>
      </c>
      <c r="E345" t="s">
        <v>75</v>
      </c>
      <c r="F345">
        <v>8089</v>
      </c>
      <c r="G345">
        <v>0</v>
      </c>
      <c r="H345" t="s">
        <v>46</v>
      </c>
      <c r="I345" t="s">
        <v>31</v>
      </c>
      <c r="J345">
        <v>2</v>
      </c>
      <c r="K345">
        <v>4</v>
      </c>
      <c r="L345" t="s">
        <v>23</v>
      </c>
      <c r="M345">
        <v>3</v>
      </c>
      <c r="N345">
        <v>30</v>
      </c>
      <c r="O345">
        <v>1</v>
      </c>
      <c r="P345">
        <v>4</v>
      </c>
      <c r="Q345" t="s">
        <v>27</v>
      </c>
    </row>
    <row r="346" spans="1:17" x14ac:dyDescent="0.3">
      <c r="A346" t="s">
        <v>391</v>
      </c>
      <c r="B346">
        <v>30</v>
      </c>
      <c r="C346" t="s">
        <v>35</v>
      </c>
      <c r="D346" t="s">
        <v>25</v>
      </c>
      <c r="E346" t="s">
        <v>61</v>
      </c>
      <c r="F346">
        <v>10895</v>
      </c>
      <c r="G346">
        <v>7</v>
      </c>
      <c r="H346" t="s">
        <v>37</v>
      </c>
      <c r="I346" t="s">
        <v>22</v>
      </c>
      <c r="J346">
        <v>3</v>
      </c>
      <c r="K346">
        <v>1</v>
      </c>
      <c r="L346" t="s">
        <v>27</v>
      </c>
      <c r="M346">
        <v>3</v>
      </c>
      <c r="N346">
        <v>8</v>
      </c>
      <c r="O346">
        <v>5</v>
      </c>
      <c r="P346">
        <v>4</v>
      </c>
      <c r="Q346" t="s">
        <v>27</v>
      </c>
    </row>
    <row r="347" spans="1:17" x14ac:dyDescent="0.3">
      <c r="A347" t="s">
        <v>392</v>
      </c>
      <c r="B347">
        <v>31</v>
      </c>
      <c r="C347" t="s">
        <v>35</v>
      </c>
      <c r="D347" t="s">
        <v>74</v>
      </c>
      <c r="E347" t="s">
        <v>75</v>
      </c>
      <c r="F347">
        <v>8389</v>
      </c>
      <c r="G347">
        <v>0</v>
      </c>
      <c r="H347" t="s">
        <v>37</v>
      </c>
      <c r="I347" t="s">
        <v>31</v>
      </c>
      <c r="J347">
        <v>3</v>
      </c>
      <c r="K347">
        <v>2</v>
      </c>
      <c r="L347" t="s">
        <v>27</v>
      </c>
      <c r="M347">
        <v>2</v>
      </c>
      <c r="N347">
        <v>4</v>
      </c>
      <c r="O347">
        <v>4</v>
      </c>
      <c r="P347">
        <v>1</v>
      </c>
      <c r="Q347" t="s">
        <v>27</v>
      </c>
    </row>
    <row r="348" spans="1:17" x14ac:dyDescent="0.3">
      <c r="A348" t="s">
        <v>393</v>
      </c>
      <c r="B348">
        <v>43</v>
      </c>
      <c r="C348" t="s">
        <v>35</v>
      </c>
      <c r="D348" t="s">
        <v>74</v>
      </c>
      <c r="E348" t="s">
        <v>99</v>
      </c>
      <c r="F348">
        <v>9303</v>
      </c>
      <c r="G348">
        <v>2</v>
      </c>
      <c r="H348" t="s">
        <v>33</v>
      </c>
      <c r="I348" t="s">
        <v>31</v>
      </c>
      <c r="J348">
        <v>1</v>
      </c>
      <c r="K348">
        <v>4</v>
      </c>
      <c r="L348" t="s">
        <v>27</v>
      </c>
      <c r="M348">
        <v>2</v>
      </c>
      <c r="N348">
        <v>18</v>
      </c>
      <c r="O348">
        <v>5</v>
      </c>
      <c r="P348">
        <v>2</v>
      </c>
      <c r="Q348" t="s">
        <v>27</v>
      </c>
    </row>
    <row r="349" spans="1:17" x14ac:dyDescent="0.3">
      <c r="A349" t="s">
        <v>394</v>
      </c>
      <c r="B349">
        <v>41</v>
      </c>
      <c r="C349" t="s">
        <v>18</v>
      </c>
      <c r="D349" t="s">
        <v>70</v>
      </c>
      <c r="E349" t="s">
        <v>71</v>
      </c>
      <c r="F349">
        <v>6086</v>
      </c>
      <c r="G349">
        <v>2</v>
      </c>
      <c r="H349" t="s">
        <v>37</v>
      </c>
      <c r="I349" t="s">
        <v>31</v>
      </c>
      <c r="J349">
        <v>4</v>
      </c>
      <c r="K349">
        <v>4</v>
      </c>
      <c r="L349" t="s">
        <v>23</v>
      </c>
      <c r="M349">
        <v>3</v>
      </c>
      <c r="N349">
        <v>1</v>
      </c>
      <c r="O349">
        <v>1</v>
      </c>
      <c r="P349">
        <v>2</v>
      </c>
      <c r="Q349" t="s">
        <v>27</v>
      </c>
    </row>
    <row r="350" spans="1:17" x14ac:dyDescent="0.3">
      <c r="A350" t="s">
        <v>395</v>
      </c>
      <c r="B350">
        <v>59</v>
      </c>
      <c r="C350" t="s">
        <v>18</v>
      </c>
      <c r="D350" t="s">
        <v>19</v>
      </c>
      <c r="E350" t="s">
        <v>20</v>
      </c>
      <c r="F350">
        <v>15154</v>
      </c>
      <c r="G350">
        <v>0</v>
      </c>
      <c r="H350" t="s">
        <v>37</v>
      </c>
      <c r="I350" t="s">
        <v>31</v>
      </c>
      <c r="J350">
        <v>4</v>
      </c>
      <c r="K350">
        <v>3</v>
      </c>
      <c r="L350" t="s">
        <v>23</v>
      </c>
      <c r="M350">
        <v>2</v>
      </c>
      <c r="N350">
        <v>14</v>
      </c>
      <c r="O350">
        <v>0</v>
      </c>
      <c r="P350">
        <v>4</v>
      </c>
      <c r="Q350" t="s">
        <v>27</v>
      </c>
    </row>
    <row r="351" spans="1:17" x14ac:dyDescent="0.3">
      <c r="A351" t="s">
        <v>396</v>
      </c>
      <c r="B351">
        <v>26</v>
      </c>
      <c r="C351" t="s">
        <v>35</v>
      </c>
      <c r="D351" t="s">
        <v>25</v>
      </c>
      <c r="E351" t="s">
        <v>61</v>
      </c>
      <c r="F351">
        <v>11139</v>
      </c>
      <c r="G351">
        <v>3</v>
      </c>
      <c r="H351" t="s">
        <v>37</v>
      </c>
      <c r="I351" t="s">
        <v>56</v>
      </c>
      <c r="J351">
        <v>2</v>
      </c>
      <c r="K351">
        <v>3</v>
      </c>
      <c r="L351" t="s">
        <v>27</v>
      </c>
      <c r="M351">
        <v>3</v>
      </c>
      <c r="N351">
        <v>2</v>
      </c>
      <c r="O351">
        <v>5</v>
      </c>
      <c r="P351">
        <v>2</v>
      </c>
      <c r="Q351" t="s">
        <v>27</v>
      </c>
    </row>
    <row r="352" spans="1:17" x14ac:dyDescent="0.3">
      <c r="A352" t="s">
        <v>397</v>
      </c>
      <c r="B352">
        <v>31</v>
      </c>
      <c r="C352" t="s">
        <v>35</v>
      </c>
      <c r="D352" t="s">
        <v>19</v>
      </c>
      <c r="E352" t="s">
        <v>40</v>
      </c>
      <c r="F352">
        <v>4523</v>
      </c>
      <c r="G352">
        <v>1</v>
      </c>
      <c r="H352" t="s">
        <v>46</v>
      </c>
      <c r="I352" t="s">
        <v>31</v>
      </c>
      <c r="J352">
        <v>1</v>
      </c>
      <c r="K352">
        <v>3</v>
      </c>
      <c r="L352" t="s">
        <v>27</v>
      </c>
      <c r="M352">
        <v>3</v>
      </c>
      <c r="N352">
        <v>22</v>
      </c>
      <c r="O352">
        <v>1</v>
      </c>
      <c r="P352">
        <v>3</v>
      </c>
      <c r="Q352" t="s">
        <v>27</v>
      </c>
    </row>
    <row r="353" spans="1:17" x14ac:dyDescent="0.3">
      <c r="A353" t="s">
        <v>398</v>
      </c>
      <c r="B353">
        <v>34</v>
      </c>
      <c r="C353" t="s">
        <v>18</v>
      </c>
      <c r="D353" t="s">
        <v>44</v>
      </c>
      <c r="E353" t="s">
        <v>45</v>
      </c>
      <c r="F353">
        <v>5524</v>
      </c>
      <c r="G353">
        <v>2</v>
      </c>
      <c r="H353" t="s">
        <v>37</v>
      </c>
      <c r="I353" t="s">
        <v>22</v>
      </c>
      <c r="J353">
        <v>3</v>
      </c>
      <c r="K353">
        <v>3</v>
      </c>
      <c r="L353" t="s">
        <v>27</v>
      </c>
      <c r="M353">
        <v>3</v>
      </c>
      <c r="N353">
        <v>9</v>
      </c>
      <c r="O353">
        <v>6</v>
      </c>
      <c r="P353">
        <v>4</v>
      </c>
      <c r="Q353" t="s">
        <v>27</v>
      </c>
    </row>
    <row r="354" spans="1:17" x14ac:dyDescent="0.3">
      <c r="A354" t="s">
        <v>399</v>
      </c>
      <c r="B354">
        <v>44</v>
      </c>
      <c r="C354" t="s">
        <v>18</v>
      </c>
      <c r="D354" t="s">
        <v>25</v>
      </c>
      <c r="E354" t="s">
        <v>26</v>
      </c>
      <c r="F354">
        <v>6593</v>
      </c>
      <c r="G354">
        <v>2</v>
      </c>
      <c r="H354" t="s">
        <v>21</v>
      </c>
      <c r="I354" t="s">
        <v>31</v>
      </c>
      <c r="J354">
        <v>1</v>
      </c>
      <c r="K354">
        <v>3</v>
      </c>
      <c r="L354" t="s">
        <v>27</v>
      </c>
      <c r="M354">
        <v>3</v>
      </c>
      <c r="N354">
        <v>15</v>
      </c>
      <c r="O354">
        <v>1</v>
      </c>
      <c r="P354">
        <v>3</v>
      </c>
      <c r="Q354" t="s">
        <v>27</v>
      </c>
    </row>
    <row r="355" spans="1:17" x14ac:dyDescent="0.3">
      <c r="A355" t="s">
        <v>400</v>
      </c>
      <c r="B355">
        <v>35</v>
      </c>
      <c r="C355" t="s">
        <v>18</v>
      </c>
      <c r="D355" t="s">
        <v>44</v>
      </c>
      <c r="E355" t="s">
        <v>45</v>
      </c>
      <c r="F355">
        <v>11223</v>
      </c>
      <c r="G355">
        <v>17</v>
      </c>
      <c r="H355" t="s">
        <v>37</v>
      </c>
      <c r="I355" t="s">
        <v>31</v>
      </c>
      <c r="J355">
        <v>4</v>
      </c>
      <c r="K355">
        <v>2</v>
      </c>
      <c r="L355" t="s">
        <v>23</v>
      </c>
      <c r="M355">
        <v>3</v>
      </c>
      <c r="N355">
        <v>14</v>
      </c>
      <c r="O355">
        <v>0</v>
      </c>
      <c r="P355">
        <v>3</v>
      </c>
      <c r="Q355" t="s">
        <v>27</v>
      </c>
    </row>
    <row r="356" spans="1:17" x14ac:dyDescent="0.3">
      <c r="A356" t="s">
        <v>401</v>
      </c>
      <c r="B356">
        <v>27</v>
      </c>
      <c r="C356" t="s">
        <v>35</v>
      </c>
      <c r="D356" t="s">
        <v>19</v>
      </c>
      <c r="E356" t="s">
        <v>36</v>
      </c>
      <c r="F356">
        <v>5132</v>
      </c>
      <c r="G356">
        <v>0</v>
      </c>
      <c r="H356" t="s">
        <v>21</v>
      </c>
      <c r="I356" t="s">
        <v>31</v>
      </c>
      <c r="J356">
        <v>3</v>
      </c>
      <c r="K356">
        <v>2</v>
      </c>
      <c r="L356" t="s">
        <v>27</v>
      </c>
      <c r="M356">
        <v>3</v>
      </c>
      <c r="N356">
        <v>3</v>
      </c>
      <c r="O356">
        <v>5</v>
      </c>
      <c r="P356">
        <v>2</v>
      </c>
      <c r="Q356" t="s">
        <v>27</v>
      </c>
    </row>
    <row r="357" spans="1:17" x14ac:dyDescent="0.3">
      <c r="A357" t="s">
        <v>402</v>
      </c>
      <c r="B357">
        <v>25</v>
      </c>
      <c r="C357" t="s">
        <v>18</v>
      </c>
      <c r="D357" t="s">
        <v>19</v>
      </c>
      <c r="E357" t="s">
        <v>40</v>
      </c>
      <c r="F357">
        <v>5044</v>
      </c>
      <c r="G357">
        <v>1</v>
      </c>
      <c r="H357" t="s">
        <v>21</v>
      </c>
      <c r="I357" t="s">
        <v>22</v>
      </c>
      <c r="J357">
        <v>1</v>
      </c>
      <c r="K357">
        <v>3</v>
      </c>
      <c r="L357" t="s">
        <v>27</v>
      </c>
      <c r="M357">
        <v>2</v>
      </c>
      <c r="N357">
        <v>24</v>
      </c>
      <c r="O357">
        <v>6</v>
      </c>
      <c r="P357">
        <v>3</v>
      </c>
      <c r="Q357" t="s">
        <v>27</v>
      </c>
    </row>
    <row r="358" spans="1:17" x14ac:dyDescent="0.3">
      <c r="A358" t="s">
        <v>403</v>
      </c>
      <c r="B358">
        <v>38</v>
      </c>
      <c r="C358" t="s">
        <v>35</v>
      </c>
      <c r="D358" t="s">
        <v>74</v>
      </c>
      <c r="E358" t="s">
        <v>75</v>
      </c>
      <c r="F358">
        <v>5757</v>
      </c>
      <c r="G358">
        <v>0</v>
      </c>
      <c r="H358" t="s">
        <v>21</v>
      </c>
      <c r="I358" t="s">
        <v>56</v>
      </c>
      <c r="J358">
        <v>1</v>
      </c>
      <c r="K358">
        <v>2</v>
      </c>
      <c r="L358" t="s">
        <v>23</v>
      </c>
      <c r="M358">
        <v>3</v>
      </c>
      <c r="N358">
        <v>1</v>
      </c>
      <c r="O358">
        <v>3</v>
      </c>
      <c r="P358">
        <v>2</v>
      </c>
      <c r="Q358" t="s">
        <v>27</v>
      </c>
    </row>
    <row r="359" spans="1:17" x14ac:dyDescent="0.3">
      <c r="A359" t="s">
        <v>404</v>
      </c>
      <c r="B359">
        <v>27</v>
      </c>
      <c r="C359" t="s">
        <v>18</v>
      </c>
      <c r="D359" t="s">
        <v>25</v>
      </c>
      <c r="E359" t="s">
        <v>26</v>
      </c>
      <c r="F359">
        <v>4767</v>
      </c>
      <c r="G359">
        <v>2</v>
      </c>
      <c r="H359" t="s">
        <v>21</v>
      </c>
      <c r="I359" t="s">
        <v>31</v>
      </c>
      <c r="J359">
        <v>2</v>
      </c>
      <c r="K359">
        <v>4</v>
      </c>
      <c r="L359" t="s">
        <v>23</v>
      </c>
      <c r="M359">
        <v>3</v>
      </c>
      <c r="N359">
        <v>10</v>
      </c>
      <c r="O359">
        <v>1</v>
      </c>
      <c r="P359">
        <v>1</v>
      </c>
      <c r="Q359" t="s">
        <v>27</v>
      </c>
    </row>
    <row r="360" spans="1:17" x14ac:dyDescent="0.3">
      <c r="A360" t="s">
        <v>405</v>
      </c>
      <c r="B360">
        <v>27</v>
      </c>
      <c r="C360" t="s">
        <v>35</v>
      </c>
      <c r="D360" t="s">
        <v>70</v>
      </c>
      <c r="E360" t="s">
        <v>71</v>
      </c>
      <c r="F360">
        <v>7575</v>
      </c>
      <c r="G360">
        <v>2</v>
      </c>
      <c r="H360" t="s">
        <v>46</v>
      </c>
      <c r="I360" t="s">
        <v>22</v>
      </c>
      <c r="J360">
        <v>1</v>
      </c>
      <c r="K360">
        <v>1</v>
      </c>
      <c r="L360" t="s">
        <v>23</v>
      </c>
      <c r="M360">
        <v>3</v>
      </c>
      <c r="N360">
        <v>7</v>
      </c>
      <c r="O360">
        <v>6</v>
      </c>
      <c r="P360">
        <v>4</v>
      </c>
      <c r="Q360" t="s">
        <v>27</v>
      </c>
    </row>
    <row r="361" spans="1:17" x14ac:dyDescent="0.3">
      <c r="A361" t="s">
        <v>406</v>
      </c>
      <c r="B361">
        <v>37</v>
      </c>
      <c r="C361" t="s">
        <v>35</v>
      </c>
      <c r="D361" t="s">
        <v>19</v>
      </c>
      <c r="E361" t="s">
        <v>20</v>
      </c>
      <c r="F361">
        <v>10011</v>
      </c>
      <c r="G361">
        <v>0</v>
      </c>
      <c r="H361" t="s">
        <v>37</v>
      </c>
      <c r="I361" t="s">
        <v>56</v>
      </c>
      <c r="J361">
        <v>3</v>
      </c>
      <c r="K361">
        <v>2</v>
      </c>
      <c r="L361" t="s">
        <v>27</v>
      </c>
      <c r="M361">
        <v>3</v>
      </c>
      <c r="N361">
        <v>26</v>
      </c>
      <c r="O361">
        <v>2</v>
      </c>
      <c r="P361">
        <v>3</v>
      </c>
      <c r="Q361" t="s">
        <v>27</v>
      </c>
    </row>
    <row r="362" spans="1:17" x14ac:dyDescent="0.3">
      <c r="A362" t="s">
        <v>407</v>
      </c>
      <c r="B362">
        <v>43</v>
      </c>
      <c r="C362" t="s">
        <v>18</v>
      </c>
      <c r="D362" t="s">
        <v>44</v>
      </c>
      <c r="E362" t="s">
        <v>20</v>
      </c>
      <c r="F362">
        <v>11865</v>
      </c>
      <c r="G362">
        <v>0</v>
      </c>
      <c r="H362" t="s">
        <v>21</v>
      </c>
      <c r="I362" t="s">
        <v>31</v>
      </c>
      <c r="J362">
        <v>1</v>
      </c>
      <c r="K362">
        <v>1</v>
      </c>
      <c r="L362" t="s">
        <v>27</v>
      </c>
      <c r="M362">
        <v>3</v>
      </c>
      <c r="N362">
        <v>7</v>
      </c>
      <c r="O362">
        <v>1</v>
      </c>
      <c r="P362">
        <v>3</v>
      </c>
      <c r="Q362" t="s">
        <v>27</v>
      </c>
    </row>
    <row r="363" spans="1:17" x14ac:dyDescent="0.3">
      <c r="A363" t="s">
        <v>408</v>
      </c>
      <c r="B363">
        <v>27</v>
      </c>
      <c r="C363" t="s">
        <v>35</v>
      </c>
      <c r="D363" t="s">
        <v>25</v>
      </c>
      <c r="E363" t="s">
        <v>26</v>
      </c>
      <c r="F363">
        <v>6905</v>
      </c>
      <c r="G363">
        <v>5</v>
      </c>
      <c r="H363" t="s">
        <v>21</v>
      </c>
      <c r="I363" t="s">
        <v>22</v>
      </c>
      <c r="J363">
        <v>4</v>
      </c>
      <c r="K363">
        <v>4</v>
      </c>
      <c r="L363" t="s">
        <v>27</v>
      </c>
      <c r="M363">
        <v>3</v>
      </c>
      <c r="N363">
        <v>27</v>
      </c>
      <c r="O363">
        <v>3</v>
      </c>
      <c r="P363">
        <v>1</v>
      </c>
      <c r="Q363" t="s">
        <v>27</v>
      </c>
    </row>
    <row r="364" spans="1:17" x14ac:dyDescent="0.3">
      <c r="A364" t="s">
        <v>409</v>
      </c>
      <c r="B364">
        <v>44</v>
      </c>
      <c r="C364" t="s">
        <v>35</v>
      </c>
      <c r="D364" t="s">
        <v>25</v>
      </c>
      <c r="E364" t="s">
        <v>20</v>
      </c>
      <c r="F364">
        <v>9007</v>
      </c>
      <c r="G364">
        <v>0</v>
      </c>
      <c r="H364" t="s">
        <v>37</v>
      </c>
      <c r="I364" t="s">
        <v>22</v>
      </c>
      <c r="J364">
        <v>3</v>
      </c>
      <c r="K364">
        <v>2</v>
      </c>
      <c r="L364" t="s">
        <v>27</v>
      </c>
      <c r="M364">
        <v>1</v>
      </c>
      <c r="N364">
        <v>5</v>
      </c>
      <c r="O364">
        <v>2</v>
      </c>
      <c r="P364">
        <v>1</v>
      </c>
      <c r="Q364" t="s">
        <v>27</v>
      </c>
    </row>
    <row r="365" spans="1:17" x14ac:dyDescent="0.3">
      <c r="A365" t="s">
        <v>410</v>
      </c>
      <c r="B365">
        <v>31</v>
      </c>
      <c r="C365" t="s">
        <v>35</v>
      </c>
      <c r="D365" t="s">
        <v>29</v>
      </c>
      <c r="E365" t="s">
        <v>49</v>
      </c>
      <c r="F365">
        <v>8898</v>
      </c>
      <c r="G365">
        <v>1</v>
      </c>
      <c r="H365" t="s">
        <v>37</v>
      </c>
      <c r="I365" t="s">
        <v>56</v>
      </c>
      <c r="J365">
        <v>4</v>
      </c>
      <c r="K365">
        <v>1</v>
      </c>
      <c r="L365" t="s">
        <v>27</v>
      </c>
      <c r="M365">
        <v>2</v>
      </c>
      <c r="N365">
        <v>18</v>
      </c>
      <c r="O365">
        <v>5</v>
      </c>
      <c r="P365">
        <v>4</v>
      </c>
      <c r="Q365" t="s">
        <v>27</v>
      </c>
    </row>
    <row r="366" spans="1:17" x14ac:dyDescent="0.3">
      <c r="A366" t="s">
        <v>411</v>
      </c>
      <c r="B366">
        <v>30</v>
      </c>
      <c r="C366" t="s">
        <v>18</v>
      </c>
      <c r="D366" t="s">
        <v>29</v>
      </c>
      <c r="E366" t="s">
        <v>49</v>
      </c>
      <c r="F366">
        <v>11127</v>
      </c>
      <c r="G366">
        <v>12</v>
      </c>
      <c r="H366" t="s">
        <v>37</v>
      </c>
      <c r="I366" t="s">
        <v>22</v>
      </c>
      <c r="J366">
        <v>2</v>
      </c>
      <c r="K366">
        <v>1</v>
      </c>
      <c r="L366" t="s">
        <v>27</v>
      </c>
      <c r="M366">
        <v>3</v>
      </c>
      <c r="N366">
        <v>4</v>
      </c>
      <c r="O366">
        <v>1</v>
      </c>
      <c r="P366">
        <v>3</v>
      </c>
      <c r="Q366" t="s">
        <v>27</v>
      </c>
    </row>
    <row r="367" spans="1:17" x14ac:dyDescent="0.3">
      <c r="A367" t="s">
        <v>412</v>
      </c>
      <c r="B367">
        <v>37</v>
      </c>
      <c r="C367" t="s">
        <v>18</v>
      </c>
      <c r="D367" t="s">
        <v>19</v>
      </c>
      <c r="E367" t="s">
        <v>40</v>
      </c>
      <c r="F367">
        <v>5940</v>
      </c>
      <c r="G367">
        <v>0</v>
      </c>
      <c r="H367" t="s">
        <v>21</v>
      </c>
      <c r="I367" t="s">
        <v>31</v>
      </c>
      <c r="J367">
        <v>2</v>
      </c>
      <c r="K367">
        <v>1</v>
      </c>
      <c r="L367" t="s">
        <v>27</v>
      </c>
      <c r="M367">
        <v>3</v>
      </c>
      <c r="N367">
        <v>17</v>
      </c>
      <c r="O367">
        <v>1</v>
      </c>
      <c r="P367">
        <v>4</v>
      </c>
      <c r="Q367" t="s">
        <v>27</v>
      </c>
    </row>
    <row r="368" spans="1:17" x14ac:dyDescent="0.3">
      <c r="A368" t="s">
        <v>413</v>
      </c>
      <c r="B368">
        <v>42</v>
      </c>
      <c r="C368" t="s">
        <v>18</v>
      </c>
      <c r="D368" t="s">
        <v>19</v>
      </c>
      <c r="E368" t="s">
        <v>40</v>
      </c>
      <c r="F368">
        <v>7964</v>
      </c>
      <c r="G368">
        <v>7</v>
      </c>
      <c r="H368" t="s">
        <v>46</v>
      </c>
      <c r="I368" t="s">
        <v>31</v>
      </c>
      <c r="J368">
        <v>2</v>
      </c>
      <c r="K368">
        <v>3</v>
      </c>
      <c r="L368" t="s">
        <v>27</v>
      </c>
      <c r="M368">
        <v>3</v>
      </c>
      <c r="N368">
        <v>22</v>
      </c>
      <c r="O368">
        <v>6</v>
      </c>
      <c r="P368">
        <v>2</v>
      </c>
      <c r="Q368" t="s">
        <v>27</v>
      </c>
    </row>
    <row r="369" spans="1:17" x14ac:dyDescent="0.3">
      <c r="A369" t="s">
        <v>414</v>
      </c>
      <c r="B369">
        <v>32</v>
      </c>
      <c r="C369" t="s">
        <v>18</v>
      </c>
      <c r="D369" t="s">
        <v>19</v>
      </c>
      <c r="E369" t="s">
        <v>40</v>
      </c>
      <c r="F369">
        <v>7189</v>
      </c>
      <c r="G369">
        <v>4</v>
      </c>
      <c r="H369" t="s">
        <v>37</v>
      </c>
      <c r="I369" t="s">
        <v>31</v>
      </c>
      <c r="J369">
        <v>3</v>
      </c>
      <c r="K369">
        <v>4</v>
      </c>
      <c r="L369" t="s">
        <v>27</v>
      </c>
      <c r="M369">
        <v>3</v>
      </c>
      <c r="N369">
        <v>7</v>
      </c>
      <c r="O369">
        <v>0</v>
      </c>
      <c r="P369">
        <v>2</v>
      </c>
      <c r="Q369" t="s">
        <v>27</v>
      </c>
    </row>
    <row r="370" spans="1:17" x14ac:dyDescent="0.3">
      <c r="A370" t="s">
        <v>415</v>
      </c>
      <c r="B370">
        <v>34</v>
      </c>
      <c r="C370" t="s">
        <v>18</v>
      </c>
      <c r="D370" t="s">
        <v>25</v>
      </c>
      <c r="E370" t="s">
        <v>26</v>
      </c>
      <c r="F370">
        <v>5658</v>
      </c>
      <c r="G370">
        <v>2</v>
      </c>
      <c r="H370" t="s">
        <v>21</v>
      </c>
      <c r="I370" t="s">
        <v>31</v>
      </c>
      <c r="J370">
        <v>2</v>
      </c>
      <c r="K370">
        <v>2</v>
      </c>
      <c r="L370" t="s">
        <v>27</v>
      </c>
      <c r="M370">
        <v>3</v>
      </c>
      <c r="N370">
        <v>26</v>
      </c>
      <c r="O370">
        <v>3</v>
      </c>
      <c r="P370">
        <v>1</v>
      </c>
      <c r="Q370" t="s">
        <v>27</v>
      </c>
    </row>
    <row r="371" spans="1:17" x14ac:dyDescent="0.3">
      <c r="A371" t="s">
        <v>416</v>
      </c>
      <c r="B371">
        <v>22</v>
      </c>
      <c r="C371" t="s">
        <v>18</v>
      </c>
      <c r="D371" t="s">
        <v>29</v>
      </c>
      <c r="E371" t="s">
        <v>49</v>
      </c>
      <c r="F371">
        <v>5274</v>
      </c>
      <c r="G371">
        <v>2</v>
      </c>
      <c r="H371" t="s">
        <v>21</v>
      </c>
      <c r="I371" t="s">
        <v>31</v>
      </c>
      <c r="J371">
        <v>4</v>
      </c>
      <c r="K371">
        <v>4</v>
      </c>
      <c r="L371" t="s">
        <v>27</v>
      </c>
      <c r="M371">
        <v>3</v>
      </c>
      <c r="N371">
        <v>14</v>
      </c>
      <c r="O371">
        <v>2</v>
      </c>
      <c r="P371">
        <v>3</v>
      </c>
      <c r="Q371" t="s">
        <v>27</v>
      </c>
    </row>
    <row r="372" spans="1:17" x14ac:dyDescent="0.3">
      <c r="A372" t="s">
        <v>417</v>
      </c>
      <c r="B372">
        <v>28</v>
      </c>
      <c r="C372" t="s">
        <v>18</v>
      </c>
      <c r="D372" t="s">
        <v>19</v>
      </c>
      <c r="E372" t="s">
        <v>20</v>
      </c>
      <c r="F372">
        <v>17583</v>
      </c>
      <c r="G372">
        <v>0</v>
      </c>
      <c r="H372" t="s">
        <v>37</v>
      </c>
      <c r="I372" t="s">
        <v>22</v>
      </c>
      <c r="J372">
        <v>2</v>
      </c>
      <c r="K372">
        <v>4</v>
      </c>
      <c r="L372" t="s">
        <v>27</v>
      </c>
      <c r="M372">
        <v>3</v>
      </c>
      <c r="N372">
        <v>21</v>
      </c>
      <c r="O372">
        <v>2</v>
      </c>
      <c r="P372">
        <v>4</v>
      </c>
      <c r="Q372" t="s">
        <v>27</v>
      </c>
    </row>
    <row r="373" spans="1:17" x14ac:dyDescent="0.3">
      <c r="A373" t="s">
        <v>418</v>
      </c>
      <c r="B373">
        <v>44</v>
      </c>
      <c r="C373" t="s">
        <v>35</v>
      </c>
      <c r="D373" t="s">
        <v>74</v>
      </c>
      <c r="E373" t="s">
        <v>75</v>
      </c>
      <c r="F373">
        <v>4975</v>
      </c>
      <c r="G373">
        <v>1</v>
      </c>
      <c r="H373" t="s">
        <v>37</v>
      </c>
      <c r="I373" t="s">
        <v>31</v>
      </c>
      <c r="J373">
        <v>3</v>
      </c>
      <c r="K373">
        <v>2</v>
      </c>
      <c r="L373" t="s">
        <v>27</v>
      </c>
      <c r="M373">
        <v>3</v>
      </c>
      <c r="N373">
        <v>9</v>
      </c>
      <c r="O373">
        <v>6</v>
      </c>
      <c r="P373">
        <v>3</v>
      </c>
      <c r="Q373" t="s">
        <v>27</v>
      </c>
    </row>
    <row r="374" spans="1:17" x14ac:dyDescent="0.3">
      <c r="A374" t="s">
        <v>419</v>
      </c>
      <c r="B374">
        <v>35</v>
      </c>
      <c r="C374" t="s">
        <v>18</v>
      </c>
      <c r="D374" t="s">
        <v>74</v>
      </c>
      <c r="E374" t="s">
        <v>99</v>
      </c>
      <c r="F374">
        <v>7383</v>
      </c>
      <c r="G374">
        <v>1</v>
      </c>
      <c r="H374" t="s">
        <v>46</v>
      </c>
      <c r="I374" t="s">
        <v>31</v>
      </c>
      <c r="J374">
        <v>3</v>
      </c>
      <c r="K374">
        <v>2</v>
      </c>
      <c r="L374" t="s">
        <v>27</v>
      </c>
      <c r="M374">
        <v>2</v>
      </c>
      <c r="N374">
        <v>23</v>
      </c>
      <c r="O374">
        <v>5</v>
      </c>
      <c r="P374">
        <v>2</v>
      </c>
      <c r="Q374" t="s">
        <v>23</v>
      </c>
    </row>
    <row r="375" spans="1:17" x14ac:dyDescent="0.3">
      <c r="A375" t="s">
        <v>420</v>
      </c>
      <c r="B375">
        <v>42</v>
      </c>
      <c r="C375" t="s">
        <v>35</v>
      </c>
      <c r="D375" t="s">
        <v>74</v>
      </c>
      <c r="E375" t="s">
        <v>75</v>
      </c>
      <c r="F375">
        <v>13271</v>
      </c>
      <c r="G375">
        <v>11</v>
      </c>
      <c r="H375" t="s">
        <v>37</v>
      </c>
      <c r="I375" t="s">
        <v>22</v>
      </c>
      <c r="J375">
        <v>2</v>
      </c>
      <c r="K375">
        <v>1</v>
      </c>
      <c r="L375" t="s">
        <v>23</v>
      </c>
      <c r="M375">
        <v>2</v>
      </c>
      <c r="N375">
        <v>10</v>
      </c>
      <c r="O375">
        <v>1</v>
      </c>
      <c r="P375">
        <v>2</v>
      </c>
      <c r="Q375" t="s">
        <v>27</v>
      </c>
    </row>
    <row r="376" spans="1:17" x14ac:dyDescent="0.3">
      <c r="A376" t="s">
        <v>421</v>
      </c>
      <c r="B376">
        <v>28</v>
      </c>
      <c r="C376" t="s">
        <v>18</v>
      </c>
      <c r="D376" t="s">
        <v>19</v>
      </c>
      <c r="E376" t="s">
        <v>40</v>
      </c>
      <c r="F376">
        <v>8448</v>
      </c>
      <c r="G376">
        <v>6</v>
      </c>
      <c r="H376" t="s">
        <v>21</v>
      </c>
      <c r="I376" t="s">
        <v>31</v>
      </c>
      <c r="J376">
        <v>1</v>
      </c>
      <c r="K376">
        <v>4</v>
      </c>
      <c r="L376" t="s">
        <v>23</v>
      </c>
      <c r="M376">
        <v>3</v>
      </c>
      <c r="N376">
        <v>10</v>
      </c>
      <c r="O376">
        <v>3</v>
      </c>
      <c r="P376">
        <v>1</v>
      </c>
      <c r="Q376" t="s">
        <v>27</v>
      </c>
    </row>
    <row r="377" spans="1:17" x14ac:dyDescent="0.3">
      <c r="A377" t="s">
        <v>422</v>
      </c>
      <c r="B377">
        <v>32</v>
      </c>
      <c r="C377" t="s">
        <v>18</v>
      </c>
      <c r="D377" t="s">
        <v>25</v>
      </c>
      <c r="E377" t="s">
        <v>26</v>
      </c>
      <c r="F377">
        <v>8500</v>
      </c>
      <c r="G377">
        <v>1</v>
      </c>
      <c r="H377" t="s">
        <v>46</v>
      </c>
      <c r="I377" t="s">
        <v>31</v>
      </c>
      <c r="J377">
        <v>2</v>
      </c>
      <c r="K377">
        <v>2</v>
      </c>
      <c r="L377" t="s">
        <v>27</v>
      </c>
      <c r="M377">
        <v>4</v>
      </c>
      <c r="N377">
        <v>22</v>
      </c>
      <c r="O377">
        <v>3</v>
      </c>
      <c r="P377">
        <v>2</v>
      </c>
      <c r="Q377" t="s">
        <v>27</v>
      </c>
    </row>
    <row r="378" spans="1:17" x14ac:dyDescent="0.3">
      <c r="A378" t="s">
        <v>423</v>
      </c>
      <c r="B378">
        <v>24</v>
      </c>
      <c r="C378" t="s">
        <v>18</v>
      </c>
      <c r="D378" t="s">
        <v>25</v>
      </c>
      <c r="E378" t="s">
        <v>26</v>
      </c>
      <c r="F378">
        <v>8762</v>
      </c>
      <c r="G378">
        <v>0</v>
      </c>
      <c r="H378" t="s">
        <v>37</v>
      </c>
      <c r="I378" t="s">
        <v>22</v>
      </c>
      <c r="J378">
        <v>1</v>
      </c>
      <c r="K378">
        <v>2</v>
      </c>
      <c r="L378" t="s">
        <v>27</v>
      </c>
      <c r="M378">
        <v>3</v>
      </c>
      <c r="N378">
        <v>18</v>
      </c>
      <c r="O378">
        <v>3</v>
      </c>
      <c r="P378">
        <v>1</v>
      </c>
      <c r="Q378" t="s">
        <v>27</v>
      </c>
    </row>
    <row r="379" spans="1:17" x14ac:dyDescent="0.3">
      <c r="A379" t="s">
        <v>424</v>
      </c>
      <c r="B379">
        <v>34</v>
      </c>
      <c r="C379" t="s">
        <v>35</v>
      </c>
      <c r="D379" t="s">
        <v>29</v>
      </c>
      <c r="E379" t="s">
        <v>30</v>
      </c>
      <c r="F379">
        <v>5286</v>
      </c>
      <c r="G379">
        <v>0</v>
      </c>
      <c r="H379" t="s">
        <v>21</v>
      </c>
      <c r="I379" t="s">
        <v>22</v>
      </c>
      <c r="J379">
        <v>2</v>
      </c>
      <c r="K379">
        <v>1</v>
      </c>
      <c r="L379" t="s">
        <v>23</v>
      </c>
      <c r="M379">
        <v>3</v>
      </c>
      <c r="N379">
        <v>29</v>
      </c>
      <c r="O379">
        <v>6</v>
      </c>
      <c r="P379">
        <v>4</v>
      </c>
      <c r="Q379" t="s">
        <v>27</v>
      </c>
    </row>
    <row r="380" spans="1:17" x14ac:dyDescent="0.3">
      <c r="A380" t="s">
        <v>425</v>
      </c>
      <c r="B380">
        <v>51</v>
      </c>
      <c r="C380" t="s">
        <v>35</v>
      </c>
      <c r="D380" t="s">
        <v>19</v>
      </c>
      <c r="E380" t="s">
        <v>40</v>
      </c>
      <c r="F380">
        <v>5737</v>
      </c>
      <c r="G380">
        <v>4</v>
      </c>
      <c r="H380" t="s">
        <v>33</v>
      </c>
      <c r="I380" t="s">
        <v>56</v>
      </c>
      <c r="J380">
        <v>2</v>
      </c>
      <c r="K380">
        <v>2</v>
      </c>
      <c r="L380" t="s">
        <v>27</v>
      </c>
      <c r="M380">
        <v>2</v>
      </c>
      <c r="N380">
        <v>12</v>
      </c>
      <c r="O380">
        <v>4</v>
      </c>
      <c r="P380">
        <v>2</v>
      </c>
      <c r="Q380" t="s">
        <v>27</v>
      </c>
    </row>
    <row r="381" spans="1:17" x14ac:dyDescent="0.3">
      <c r="A381" t="s">
        <v>426</v>
      </c>
      <c r="B381">
        <v>25</v>
      </c>
      <c r="C381" t="s">
        <v>35</v>
      </c>
      <c r="D381" t="s">
        <v>74</v>
      </c>
      <c r="E381" t="s">
        <v>99</v>
      </c>
      <c r="F381">
        <v>10091</v>
      </c>
      <c r="G381">
        <v>4</v>
      </c>
      <c r="H381" t="s">
        <v>46</v>
      </c>
      <c r="I381" t="s">
        <v>22</v>
      </c>
      <c r="J381">
        <v>1</v>
      </c>
      <c r="K381">
        <v>2</v>
      </c>
      <c r="L381" t="s">
        <v>27</v>
      </c>
      <c r="M381">
        <v>3</v>
      </c>
      <c r="N381">
        <v>22</v>
      </c>
      <c r="O381">
        <v>0</v>
      </c>
      <c r="P381">
        <v>4</v>
      </c>
      <c r="Q381" t="s">
        <v>27</v>
      </c>
    </row>
    <row r="382" spans="1:17" x14ac:dyDescent="0.3">
      <c r="A382" t="s">
        <v>427</v>
      </c>
      <c r="B382">
        <v>32</v>
      </c>
      <c r="C382" t="s">
        <v>35</v>
      </c>
      <c r="D382" t="s">
        <v>29</v>
      </c>
      <c r="E382" t="s">
        <v>49</v>
      </c>
      <c r="F382">
        <v>6164</v>
      </c>
      <c r="G382">
        <v>1</v>
      </c>
      <c r="H382" t="s">
        <v>21</v>
      </c>
      <c r="I382" t="s">
        <v>31</v>
      </c>
      <c r="J382">
        <v>4</v>
      </c>
      <c r="K382">
        <v>3</v>
      </c>
      <c r="L382" t="s">
        <v>23</v>
      </c>
      <c r="M382">
        <v>3</v>
      </c>
      <c r="N382">
        <v>2</v>
      </c>
      <c r="O382">
        <v>2</v>
      </c>
      <c r="P382">
        <v>4</v>
      </c>
      <c r="Q382" t="s">
        <v>27</v>
      </c>
    </row>
    <row r="383" spans="1:17" x14ac:dyDescent="0.3">
      <c r="A383" t="s">
        <v>428</v>
      </c>
      <c r="B383">
        <v>30</v>
      </c>
      <c r="C383" t="s">
        <v>35</v>
      </c>
      <c r="D383" t="s">
        <v>25</v>
      </c>
      <c r="E383" t="s">
        <v>26</v>
      </c>
      <c r="F383">
        <v>8199</v>
      </c>
      <c r="G383">
        <v>0</v>
      </c>
      <c r="H383" t="s">
        <v>37</v>
      </c>
      <c r="I383" t="s">
        <v>22</v>
      </c>
      <c r="J383">
        <v>2</v>
      </c>
      <c r="K383">
        <v>4</v>
      </c>
      <c r="L383" t="s">
        <v>27</v>
      </c>
      <c r="M383">
        <v>2</v>
      </c>
      <c r="N383">
        <v>13</v>
      </c>
      <c r="O383">
        <v>4</v>
      </c>
      <c r="P383">
        <v>3</v>
      </c>
      <c r="Q383" t="s">
        <v>27</v>
      </c>
    </row>
    <row r="384" spans="1:17" x14ac:dyDescent="0.3">
      <c r="A384" t="s">
        <v>429</v>
      </c>
      <c r="B384">
        <v>26</v>
      </c>
      <c r="C384" t="s">
        <v>35</v>
      </c>
      <c r="D384" t="s">
        <v>74</v>
      </c>
      <c r="E384" t="s">
        <v>75</v>
      </c>
      <c r="F384">
        <v>9971</v>
      </c>
      <c r="G384">
        <v>1</v>
      </c>
      <c r="H384" t="s">
        <v>33</v>
      </c>
      <c r="I384" t="s">
        <v>31</v>
      </c>
      <c r="J384">
        <v>3</v>
      </c>
      <c r="K384">
        <v>4</v>
      </c>
      <c r="L384" t="s">
        <v>23</v>
      </c>
      <c r="M384">
        <v>3</v>
      </c>
      <c r="N384">
        <v>4</v>
      </c>
      <c r="O384">
        <v>2</v>
      </c>
      <c r="P384">
        <v>4</v>
      </c>
      <c r="Q384" t="s">
        <v>27</v>
      </c>
    </row>
    <row r="385" spans="1:17" x14ac:dyDescent="0.3">
      <c r="A385" t="s">
        <v>430</v>
      </c>
      <c r="B385">
        <v>30</v>
      </c>
      <c r="C385" t="s">
        <v>18</v>
      </c>
      <c r="D385" t="s">
        <v>19</v>
      </c>
      <c r="E385" t="s">
        <v>40</v>
      </c>
      <c r="F385">
        <v>12743</v>
      </c>
      <c r="G385">
        <v>12</v>
      </c>
      <c r="H385" t="s">
        <v>21</v>
      </c>
      <c r="I385" t="s">
        <v>56</v>
      </c>
      <c r="J385">
        <v>2</v>
      </c>
      <c r="K385">
        <v>1</v>
      </c>
      <c r="L385" t="s">
        <v>27</v>
      </c>
      <c r="M385">
        <v>3</v>
      </c>
      <c r="N385">
        <v>21</v>
      </c>
      <c r="O385">
        <v>1</v>
      </c>
      <c r="P385">
        <v>1</v>
      </c>
      <c r="Q385" t="s">
        <v>23</v>
      </c>
    </row>
    <row r="386" spans="1:17" x14ac:dyDescent="0.3">
      <c r="A386" t="s">
        <v>431</v>
      </c>
      <c r="B386">
        <v>32</v>
      </c>
      <c r="C386" t="s">
        <v>35</v>
      </c>
      <c r="D386" t="s">
        <v>25</v>
      </c>
      <c r="E386" t="s">
        <v>26</v>
      </c>
      <c r="F386">
        <v>11468</v>
      </c>
      <c r="G386">
        <v>8</v>
      </c>
      <c r="H386" t="s">
        <v>33</v>
      </c>
      <c r="I386" t="s">
        <v>22</v>
      </c>
      <c r="J386">
        <v>1</v>
      </c>
      <c r="K386">
        <v>2</v>
      </c>
      <c r="L386" t="s">
        <v>27</v>
      </c>
      <c r="M386">
        <v>3</v>
      </c>
      <c r="N386">
        <v>10</v>
      </c>
      <c r="O386">
        <v>4</v>
      </c>
      <c r="P386">
        <v>4</v>
      </c>
      <c r="Q386" t="s">
        <v>27</v>
      </c>
    </row>
    <row r="387" spans="1:17" x14ac:dyDescent="0.3">
      <c r="A387" t="s">
        <v>432</v>
      </c>
      <c r="B387">
        <v>38</v>
      </c>
      <c r="C387" t="s">
        <v>18</v>
      </c>
      <c r="D387" t="s">
        <v>19</v>
      </c>
      <c r="E387" t="s">
        <v>36</v>
      </c>
      <c r="F387">
        <v>8138</v>
      </c>
      <c r="G387">
        <v>6</v>
      </c>
      <c r="H387" t="s">
        <v>21</v>
      </c>
      <c r="I387" t="s">
        <v>56</v>
      </c>
      <c r="J387">
        <v>1</v>
      </c>
      <c r="K387">
        <v>1</v>
      </c>
      <c r="L387" t="s">
        <v>27</v>
      </c>
      <c r="M387">
        <v>3</v>
      </c>
      <c r="N387">
        <v>12</v>
      </c>
      <c r="O387">
        <v>5</v>
      </c>
      <c r="P387">
        <v>4</v>
      </c>
      <c r="Q387" t="s">
        <v>27</v>
      </c>
    </row>
    <row r="388" spans="1:17" x14ac:dyDescent="0.3">
      <c r="A388" t="s">
        <v>433</v>
      </c>
      <c r="B388">
        <v>42</v>
      </c>
      <c r="C388" t="s">
        <v>35</v>
      </c>
      <c r="D388" t="s">
        <v>19</v>
      </c>
      <c r="E388" t="s">
        <v>36</v>
      </c>
      <c r="F388">
        <v>6163</v>
      </c>
      <c r="G388">
        <v>0</v>
      </c>
      <c r="H388" t="s">
        <v>37</v>
      </c>
      <c r="I388" t="s">
        <v>31</v>
      </c>
      <c r="J388">
        <v>3</v>
      </c>
      <c r="K388">
        <v>2</v>
      </c>
      <c r="L388" t="s">
        <v>23</v>
      </c>
      <c r="M388">
        <v>3</v>
      </c>
      <c r="N388">
        <v>9</v>
      </c>
      <c r="O388">
        <v>5</v>
      </c>
      <c r="P388">
        <v>4</v>
      </c>
      <c r="Q388" t="s">
        <v>27</v>
      </c>
    </row>
    <row r="389" spans="1:17" x14ac:dyDescent="0.3">
      <c r="A389" t="s">
        <v>434</v>
      </c>
      <c r="B389">
        <v>32</v>
      </c>
      <c r="C389" t="s">
        <v>18</v>
      </c>
      <c r="D389" t="s">
        <v>25</v>
      </c>
      <c r="E389" t="s">
        <v>26</v>
      </c>
      <c r="F389">
        <v>3097</v>
      </c>
      <c r="G389">
        <v>0</v>
      </c>
      <c r="H389" t="s">
        <v>37</v>
      </c>
      <c r="I389" t="s">
        <v>31</v>
      </c>
      <c r="J389">
        <v>2</v>
      </c>
      <c r="K389">
        <v>1</v>
      </c>
      <c r="L389" t="s">
        <v>27</v>
      </c>
      <c r="M389">
        <v>1</v>
      </c>
      <c r="N389">
        <v>3</v>
      </c>
      <c r="O389">
        <v>5</v>
      </c>
      <c r="P389">
        <v>2</v>
      </c>
      <c r="Q389" t="s">
        <v>27</v>
      </c>
    </row>
    <row r="390" spans="1:17" x14ac:dyDescent="0.3">
      <c r="A390" t="s">
        <v>435</v>
      </c>
      <c r="B390">
        <v>35</v>
      </c>
      <c r="C390" t="s">
        <v>18</v>
      </c>
      <c r="D390" t="s">
        <v>19</v>
      </c>
      <c r="E390" t="s">
        <v>36</v>
      </c>
      <c r="F390">
        <v>1800</v>
      </c>
      <c r="G390">
        <v>0</v>
      </c>
      <c r="H390" t="s">
        <v>37</v>
      </c>
      <c r="I390" t="s">
        <v>22</v>
      </c>
      <c r="J390">
        <v>4</v>
      </c>
      <c r="K390">
        <v>4</v>
      </c>
      <c r="L390" t="s">
        <v>27</v>
      </c>
      <c r="M390">
        <v>1</v>
      </c>
      <c r="N390">
        <v>15</v>
      </c>
      <c r="O390">
        <v>2</v>
      </c>
      <c r="P390">
        <v>3</v>
      </c>
      <c r="Q390" t="s">
        <v>27</v>
      </c>
    </row>
    <row r="391" spans="1:17" x14ac:dyDescent="0.3">
      <c r="A391" t="s">
        <v>436</v>
      </c>
      <c r="B391">
        <v>39</v>
      </c>
      <c r="C391" t="s">
        <v>35</v>
      </c>
      <c r="D391" t="s">
        <v>29</v>
      </c>
      <c r="E391" t="s">
        <v>30</v>
      </c>
      <c r="F391">
        <v>6789</v>
      </c>
      <c r="G391">
        <v>1</v>
      </c>
      <c r="H391" t="s">
        <v>46</v>
      </c>
      <c r="I391" t="s">
        <v>22</v>
      </c>
      <c r="J391">
        <v>2</v>
      </c>
      <c r="K391">
        <v>4</v>
      </c>
      <c r="L391" t="s">
        <v>27</v>
      </c>
      <c r="M391">
        <v>3</v>
      </c>
      <c r="N391">
        <v>18</v>
      </c>
      <c r="O391">
        <v>0</v>
      </c>
      <c r="P391">
        <v>2</v>
      </c>
      <c r="Q391" t="s">
        <v>27</v>
      </c>
    </row>
    <row r="392" spans="1:17" x14ac:dyDescent="0.3">
      <c r="A392" t="s">
        <v>437</v>
      </c>
      <c r="B392">
        <v>29</v>
      </c>
      <c r="C392" t="s">
        <v>18</v>
      </c>
      <c r="D392" t="s">
        <v>74</v>
      </c>
      <c r="E392" t="s">
        <v>20</v>
      </c>
      <c r="F392">
        <v>10193</v>
      </c>
      <c r="G392">
        <v>0</v>
      </c>
      <c r="H392" t="s">
        <v>21</v>
      </c>
      <c r="I392" t="s">
        <v>22</v>
      </c>
      <c r="J392">
        <v>3</v>
      </c>
      <c r="K392">
        <v>4</v>
      </c>
      <c r="L392" t="s">
        <v>27</v>
      </c>
      <c r="M392">
        <v>3</v>
      </c>
      <c r="N392">
        <v>17</v>
      </c>
      <c r="O392">
        <v>1</v>
      </c>
      <c r="P392">
        <v>1</v>
      </c>
      <c r="Q392" t="s">
        <v>27</v>
      </c>
    </row>
    <row r="393" spans="1:17" x14ac:dyDescent="0.3">
      <c r="A393" t="s">
        <v>438</v>
      </c>
      <c r="B393">
        <v>43</v>
      </c>
      <c r="C393" t="s">
        <v>18</v>
      </c>
      <c r="D393" t="s">
        <v>29</v>
      </c>
      <c r="E393" t="s">
        <v>30</v>
      </c>
      <c r="F393">
        <v>5704</v>
      </c>
      <c r="G393">
        <v>0</v>
      </c>
      <c r="H393" t="s">
        <v>21</v>
      </c>
      <c r="I393" t="s">
        <v>31</v>
      </c>
      <c r="J393">
        <v>4</v>
      </c>
      <c r="K393">
        <v>2</v>
      </c>
      <c r="L393" t="s">
        <v>27</v>
      </c>
      <c r="M393">
        <v>1</v>
      </c>
      <c r="N393">
        <v>26</v>
      </c>
      <c r="O393">
        <v>1</v>
      </c>
      <c r="P393">
        <v>2</v>
      </c>
      <c r="Q393" t="s">
        <v>27</v>
      </c>
    </row>
    <row r="394" spans="1:17" x14ac:dyDescent="0.3">
      <c r="A394" t="s">
        <v>439</v>
      </c>
      <c r="B394">
        <v>44</v>
      </c>
      <c r="C394" t="s">
        <v>35</v>
      </c>
      <c r="D394" t="s">
        <v>25</v>
      </c>
      <c r="E394" t="s">
        <v>20</v>
      </c>
      <c r="F394">
        <v>12176</v>
      </c>
      <c r="G394">
        <v>0</v>
      </c>
      <c r="H394" t="s">
        <v>37</v>
      </c>
      <c r="I394" t="s">
        <v>31</v>
      </c>
      <c r="J394">
        <v>1</v>
      </c>
      <c r="K394">
        <v>1</v>
      </c>
      <c r="L394" t="s">
        <v>23</v>
      </c>
      <c r="M394">
        <v>2</v>
      </c>
      <c r="N394">
        <v>20</v>
      </c>
      <c r="O394">
        <v>4</v>
      </c>
      <c r="P394">
        <v>4</v>
      </c>
      <c r="Q394" t="s">
        <v>27</v>
      </c>
    </row>
    <row r="395" spans="1:17" x14ac:dyDescent="0.3">
      <c r="A395" t="s">
        <v>440</v>
      </c>
      <c r="B395">
        <v>45</v>
      </c>
      <c r="C395" t="s">
        <v>35</v>
      </c>
      <c r="D395" t="s">
        <v>25</v>
      </c>
      <c r="E395" t="s">
        <v>61</v>
      </c>
      <c r="F395">
        <v>16537</v>
      </c>
      <c r="G395">
        <v>21</v>
      </c>
      <c r="H395" t="s">
        <v>46</v>
      </c>
      <c r="I395" t="s">
        <v>56</v>
      </c>
      <c r="J395">
        <v>4</v>
      </c>
      <c r="K395">
        <v>2</v>
      </c>
      <c r="L395" t="s">
        <v>27</v>
      </c>
      <c r="M395">
        <v>4</v>
      </c>
      <c r="N395">
        <v>7</v>
      </c>
      <c r="O395">
        <v>1</v>
      </c>
      <c r="P395">
        <v>3</v>
      </c>
      <c r="Q395" t="s">
        <v>27</v>
      </c>
    </row>
    <row r="396" spans="1:17" x14ac:dyDescent="0.3">
      <c r="A396" t="s">
        <v>441</v>
      </c>
      <c r="B396">
        <v>31</v>
      </c>
      <c r="C396" t="s">
        <v>35</v>
      </c>
      <c r="D396" t="s">
        <v>25</v>
      </c>
      <c r="E396" t="s">
        <v>26</v>
      </c>
      <c r="F396">
        <v>8773</v>
      </c>
      <c r="G396">
        <v>3</v>
      </c>
      <c r="H396" t="s">
        <v>37</v>
      </c>
      <c r="I396" t="s">
        <v>31</v>
      </c>
      <c r="J396">
        <v>3</v>
      </c>
      <c r="K396">
        <v>2</v>
      </c>
      <c r="L396" t="s">
        <v>27</v>
      </c>
      <c r="M396">
        <v>3</v>
      </c>
      <c r="N396">
        <v>1</v>
      </c>
      <c r="O396">
        <v>0</v>
      </c>
      <c r="P396">
        <v>1</v>
      </c>
      <c r="Q396" t="s">
        <v>23</v>
      </c>
    </row>
    <row r="397" spans="1:17" x14ac:dyDescent="0.3">
      <c r="A397" t="s">
        <v>442</v>
      </c>
      <c r="B397">
        <v>48</v>
      </c>
      <c r="C397" t="s">
        <v>35</v>
      </c>
      <c r="D397" t="s">
        <v>74</v>
      </c>
      <c r="E397" t="s">
        <v>75</v>
      </c>
      <c r="F397">
        <v>6971</v>
      </c>
      <c r="G397">
        <v>2</v>
      </c>
      <c r="H397" t="s">
        <v>37</v>
      </c>
      <c r="I397" t="s">
        <v>31</v>
      </c>
      <c r="J397">
        <v>1</v>
      </c>
      <c r="K397">
        <v>1</v>
      </c>
      <c r="L397" t="s">
        <v>27</v>
      </c>
      <c r="M397">
        <v>3</v>
      </c>
      <c r="N397">
        <v>29</v>
      </c>
      <c r="O397">
        <v>1</v>
      </c>
      <c r="P397">
        <v>3</v>
      </c>
      <c r="Q397" t="s">
        <v>27</v>
      </c>
    </row>
    <row r="398" spans="1:17" x14ac:dyDescent="0.3">
      <c r="A398" t="s">
        <v>443</v>
      </c>
      <c r="B398">
        <v>34</v>
      </c>
      <c r="C398" t="s">
        <v>18</v>
      </c>
      <c r="D398" t="s">
        <v>44</v>
      </c>
      <c r="E398" t="s">
        <v>54</v>
      </c>
      <c r="F398">
        <v>7973</v>
      </c>
      <c r="G398">
        <v>5</v>
      </c>
      <c r="H398" t="s">
        <v>46</v>
      </c>
      <c r="I398" t="s">
        <v>22</v>
      </c>
      <c r="J398">
        <v>3</v>
      </c>
      <c r="K398">
        <v>1</v>
      </c>
      <c r="L398" t="s">
        <v>23</v>
      </c>
      <c r="M398">
        <v>4</v>
      </c>
      <c r="N398">
        <v>22</v>
      </c>
      <c r="O398">
        <v>2</v>
      </c>
      <c r="P398">
        <v>3</v>
      </c>
      <c r="Q398" t="s">
        <v>27</v>
      </c>
    </row>
    <row r="399" spans="1:17" x14ac:dyDescent="0.3">
      <c r="A399" t="s">
        <v>444</v>
      </c>
      <c r="B399">
        <v>29</v>
      </c>
      <c r="C399" t="s">
        <v>35</v>
      </c>
      <c r="D399" t="s">
        <v>25</v>
      </c>
      <c r="E399" t="s">
        <v>26</v>
      </c>
      <c r="F399">
        <v>6413</v>
      </c>
      <c r="G399">
        <v>1</v>
      </c>
      <c r="H399" t="s">
        <v>37</v>
      </c>
      <c r="I399" t="s">
        <v>31</v>
      </c>
      <c r="J399">
        <v>2</v>
      </c>
      <c r="K399">
        <v>1</v>
      </c>
      <c r="L399" t="s">
        <v>27</v>
      </c>
      <c r="M399">
        <v>2</v>
      </c>
      <c r="N399">
        <v>30</v>
      </c>
      <c r="O399">
        <v>2</v>
      </c>
      <c r="P399">
        <v>3</v>
      </c>
      <c r="Q399" t="s">
        <v>23</v>
      </c>
    </row>
    <row r="400" spans="1:17" x14ac:dyDescent="0.3">
      <c r="A400" t="s">
        <v>445</v>
      </c>
      <c r="B400">
        <v>36</v>
      </c>
      <c r="C400" t="s">
        <v>18</v>
      </c>
      <c r="D400" t="s">
        <v>74</v>
      </c>
      <c r="E400" t="s">
        <v>75</v>
      </c>
      <c r="F400">
        <v>9859</v>
      </c>
      <c r="G400">
        <v>2</v>
      </c>
      <c r="H400" t="s">
        <v>21</v>
      </c>
      <c r="I400" t="s">
        <v>31</v>
      </c>
      <c r="J400">
        <v>4</v>
      </c>
      <c r="K400">
        <v>4</v>
      </c>
      <c r="L400" t="s">
        <v>23</v>
      </c>
      <c r="M400">
        <v>2</v>
      </c>
      <c r="N400">
        <v>1</v>
      </c>
      <c r="O400">
        <v>1</v>
      </c>
      <c r="P400">
        <v>3</v>
      </c>
      <c r="Q400" t="s">
        <v>27</v>
      </c>
    </row>
    <row r="401" spans="1:17" x14ac:dyDescent="0.3">
      <c r="A401" t="s">
        <v>446</v>
      </c>
      <c r="B401">
        <v>42</v>
      </c>
      <c r="C401" t="s">
        <v>18</v>
      </c>
      <c r="D401" t="s">
        <v>19</v>
      </c>
      <c r="E401" t="s">
        <v>20</v>
      </c>
      <c r="F401">
        <v>11379</v>
      </c>
      <c r="G401">
        <v>0</v>
      </c>
      <c r="H401" t="s">
        <v>37</v>
      </c>
      <c r="I401" t="s">
        <v>31</v>
      </c>
      <c r="J401">
        <v>1</v>
      </c>
      <c r="K401">
        <v>2</v>
      </c>
      <c r="L401" t="s">
        <v>27</v>
      </c>
      <c r="M401">
        <v>3</v>
      </c>
      <c r="N401">
        <v>30</v>
      </c>
      <c r="O401">
        <v>1</v>
      </c>
      <c r="P401">
        <v>3</v>
      </c>
      <c r="Q401" t="s">
        <v>27</v>
      </c>
    </row>
    <row r="402" spans="1:17" x14ac:dyDescent="0.3">
      <c r="A402" t="s">
        <v>447</v>
      </c>
      <c r="B402">
        <v>27</v>
      </c>
      <c r="C402" t="s">
        <v>18</v>
      </c>
      <c r="D402" t="s">
        <v>74</v>
      </c>
      <c r="E402" t="s">
        <v>75</v>
      </c>
      <c r="F402">
        <v>8306</v>
      </c>
      <c r="G402">
        <v>9</v>
      </c>
      <c r="H402" t="s">
        <v>21</v>
      </c>
      <c r="I402" t="s">
        <v>22</v>
      </c>
      <c r="J402">
        <v>4</v>
      </c>
      <c r="K402">
        <v>4</v>
      </c>
      <c r="L402" t="s">
        <v>27</v>
      </c>
      <c r="M402">
        <v>3</v>
      </c>
      <c r="N402">
        <v>11</v>
      </c>
      <c r="O402">
        <v>5</v>
      </c>
      <c r="P402">
        <v>2</v>
      </c>
      <c r="Q402" t="s">
        <v>27</v>
      </c>
    </row>
    <row r="403" spans="1:17" x14ac:dyDescent="0.3">
      <c r="A403" t="s">
        <v>448</v>
      </c>
      <c r="B403">
        <v>23</v>
      </c>
      <c r="C403" t="s">
        <v>35</v>
      </c>
      <c r="D403" t="s">
        <v>25</v>
      </c>
      <c r="E403" t="s">
        <v>26</v>
      </c>
      <c r="F403">
        <v>5906</v>
      </c>
      <c r="G403">
        <v>3</v>
      </c>
      <c r="H403" t="s">
        <v>37</v>
      </c>
      <c r="I403" t="s">
        <v>56</v>
      </c>
      <c r="J403">
        <v>1</v>
      </c>
      <c r="K403">
        <v>4</v>
      </c>
      <c r="L403" t="s">
        <v>23</v>
      </c>
      <c r="M403">
        <v>3</v>
      </c>
      <c r="N403">
        <v>12</v>
      </c>
      <c r="O403">
        <v>6</v>
      </c>
      <c r="P403">
        <v>2</v>
      </c>
      <c r="Q403" t="s">
        <v>27</v>
      </c>
    </row>
    <row r="404" spans="1:17" x14ac:dyDescent="0.3">
      <c r="A404" t="s">
        <v>449</v>
      </c>
      <c r="B404">
        <v>40</v>
      </c>
      <c r="C404" t="s">
        <v>35</v>
      </c>
      <c r="D404" t="s">
        <v>19</v>
      </c>
      <c r="E404" t="s">
        <v>36</v>
      </c>
      <c r="F404">
        <v>9252</v>
      </c>
      <c r="G404">
        <v>0</v>
      </c>
      <c r="H404" t="s">
        <v>46</v>
      </c>
      <c r="I404" t="s">
        <v>31</v>
      </c>
      <c r="J404">
        <v>3</v>
      </c>
      <c r="K404">
        <v>2</v>
      </c>
      <c r="L404" t="s">
        <v>23</v>
      </c>
      <c r="M404">
        <v>3</v>
      </c>
      <c r="N404">
        <v>26</v>
      </c>
      <c r="O404">
        <v>2</v>
      </c>
      <c r="P404">
        <v>2</v>
      </c>
      <c r="Q404" t="s">
        <v>27</v>
      </c>
    </row>
    <row r="405" spans="1:17" x14ac:dyDescent="0.3">
      <c r="A405" t="s">
        <v>450</v>
      </c>
      <c r="B405">
        <v>43</v>
      </c>
      <c r="C405" t="s">
        <v>35</v>
      </c>
      <c r="D405" t="s">
        <v>19</v>
      </c>
      <c r="E405" t="s">
        <v>40</v>
      </c>
      <c r="F405">
        <v>5101</v>
      </c>
      <c r="G405">
        <v>3</v>
      </c>
      <c r="H405" t="s">
        <v>37</v>
      </c>
      <c r="I405" t="s">
        <v>22</v>
      </c>
      <c r="J405">
        <v>4</v>
      </c>
      <c r="K405">
        <v>2</v>
      </c>
      <c r="L405" t="s">
        <v>27</v>
      </c>
      <c r="M405">
        <v>2</v>
      </c>
      <c r="N405">
        <v>6</v>
      </c>
      <c r="O405">
        <v>2</v>
      </c>
      <c r="P405">
        <v>1</v>
      </c>
      <c r="Q405" t="s">
        <v>27</v>
      </c>
    </row>
    <row r="406" spans="1:17" x14ac:dyDescent="0.3">
      <c r="A406" t="s">
        <v>451</v>
      </c>
      <c r="B406">
        <v>24</v>
      </c>
      <c r="C406" t="s">
        <v>35</v>
      </c>
      <c r="D406" t="s">
        <v>19</v>
      </c>
      <c r="E406" t="s">
        <v>20</v>
      </c>
      <c r="F406">
        <v>10742</v>
      </c>
      <c r="G406">
        <v>3</v>
      </c>
      <c r="H406" t="s">
        <v>46</v>
      </c>
      <c r="I406" t="s">
        <v>31</v>
      </c>
      <c r="J406">
        <v>4</v>
      </c>
      <c r="K406">
        <v>1</v>
      </c>
      <c r="L406" t="s">
        <v>27</v>
      </c>
      <c r="M406">
        <v>3</v>
      </c>
      <c r="N406">
        <v>27</v>
      </c>
      <c r="O406">
        <v>5</v>
      </c>
      <c r="P406">
        <v>1</v>
      </c>
      <c r="Q406" t="s">
        <v>27</v>
      </c>
    </row>
    <row r="407" spans="1:17" x14ac:dyDescent="0.3">
      <c r="A407" t="s">
        <v>452</v>
      </c>
      <c r="B407">
        <v>43</v>
      </c>
      <c r="C407" t="s">
        <v>35</v>
      </c>
      <c r="D407" t="s">
        <v>25</v>
      </c>
      <c r="E407" t="s">
        <v>26</v>
      </c>
      <c r="F407">
        <v>7711</v>
      </c>
      <c r="G407">
        <v>7</v>
      </c>
      <c r="H407" t="s">
        <v>33</v>
      </c>
      <c r="I407" t="s">
        <v>22</v>
      </c>
      <c r="J407">
        <v>3</v>
      </c>
      <c r="K407">
        <v>3</v>
      </c>
      <c r="L407" t="s">
        <v>27</v>
      </c>
      <c r="M407">
        <v>3</v>
      </c>
      <c r="N407">
        <v>26</v>
      </c>
      <c r="O407">
        <v>3</v>
      </c>
      <c r="P407">
        <v>4</v>
      </c>
      <c r="Q407" t="s">
        <v>27</v>
      </c>
    </row>
    <row r="408" spans="1:17" x14ac:dyDescent="0.3">
      <c r="A408" t="s">
        <v>453</v>
      </c>
      <c r="B408">
        <v>37</v>
      </c>
      <c r="C408" t="s">
        <v>18</v>
      </c>
      <c r="D408" t="s">
        <v>70</v>
      </c>
      <c r="E408" t="s">
        <v>144</v>
      </c>
      <c r="F408">
        <v>9752</v>
      </c>
      <c r="G408">
        <v>1</v>
      </c>
      <c r="H408" t="s">
        <v>37</v>
      </c>
      <c r="I408" t="s">
        <v>22</v>
      </c>
      <c r="J408">
        <v>3</v>
      </c>
      <c r="K408">
        <v>4</v>
      </c>
      <c r="L408" t="s">
        <v>27</v>
      </c>
      <c r="M408">
        <v>3</v>
      </c>
      <c r="N408">
        <v>7</v>
      </c>
      <c r="O408">
        <v>4</v>
      </c>
      <c r="P408">
        <v>4</v>
      </c>
      <c r="Q408" t="s">
        <v>27</v>
      </c>
    </row>
    <row r="409" spans="1:17" x14ac:dyDescent="0.3">
      <c r="A409" t="s">
        <v>454</v>
      </c>
      <c r="B409">
        <v>26</v>
      </c>
      <c r="C409" t="s">
        <v>18</v>
      </c>
      <c r="D409" t="s">
        <v>25</v>
      </c>
      <c r="E409" t="s">
        <v>26</v>
      </c>
      <c r="F409">
        <v>6840</v>
      </c>
      <c r="G409">
        <v>3</v>
      </c>
      <c r="H409" t="s">
        <v>21</v>
      </c>
      <c r="I409" t="s">
        <v>22</v>
      </c>
      <c r="J409">
        <v>1</v>
      </c>
      <c r="K409">
        <v>2</v>
      </c>
      <c r="L409" t="s">
        <v>23</v>
      </c>
      <c r="M409">
        <v>3</v>
      </c>
      <c r="N409">
        <v>7</v>
      </c>
      <c r="O409">
        <v>6</v>
      </c>
      <c r="P409">
        <v>1</v>
      </c>
      <c r="Q409" t="s">
        <v>27</v>
      </c>
    </row>
    <row r="410" spans="1:17" x14ac:dyDescent="0.3">
      <c r="A410" t="s">
        <v>455</v>
      </c>
      <c r="B410">
        <v>30</v>
      </c>
      <c r="C410" t="s">
        <v>18</v>
      </c>
      <c r="D410" t="s">
        <v>74</v>
      </c>
      <c r="E410" t="s">
        <v>99</v>
      </c>
      <c r="F410">
        <v>9262</v>
      </c>
      <c r="G410">
        <v>5</v>
      </c>
      <c r="H410" t="s">
        <v>21</v>
      </c>
      <c r="I410" t="s">
        <v>22</v>
      </c>
      <c r="J410">
        <v>1</v>
      </c>
      <c r="K410">
        <v>4</v>
      </c>
      <c r="L410" t="s">
        <v>27</v>
      </c>
      <c r="M410">
        <v>3</v>
      </c>
      <c r="N410">
        <v>22</v>
      </c>
      <c r="O410">
        <v>1</v>
      </c>
      <c r="P410">
        <v>3</v>
      </c>
      <c r="Q410" t="s">
        <v>27</v>
      </c>
    </row>
    <row r="411" spans="1:17" x14ac:dyDescent="0.3">
      <c r="A411" t="s">
        <v>456</v>
      </c>
      <c r="B411">
        <v>25</v>
      </c>
      <c r="C411" t="s">
        <v>35</v>
      </c>
      <c r="D411" t="s">
        <v>19</v>
      </c>
      <c r="E411" t="s">
        <v>40</v>
      </c>
      <c r="F411">
        <v>8993</v>
      </c>
      <c r="G411">
        <v>5</v>
      </c>
      <c r="H411" t="s">
        <v>37</v>
      </c>
      <c r="I411" t="s">
        <v>22</v>
      </c>
      <c r="J411">
        <v>2</v>
      </c>
      <c r="K411">
        <v>3</v>
      </c>
      <c r="L411" t="s">
        <v>23</v>
      </c>
      <c r="M411">
        <v>2</v>
      </c>
      <c r="N411">
        <v>3</v>
      </c>
      <c r="O411">
        <v>1</v>
      </c>
      <c r="P411">
        <v>4</v>
      </c>
      <c r="Q411" t="s">
        <v>27</v>
      </c>
    </row>
    <row r="412" spans="1:17" x14ac:dyDescent="0.3">
      <c r="A412" t="s">
        <v>457</v>
      </c>
      <c r="B412">
        <v>37</v>
      </c>
      <c r="C412" t="s">
        <v>35</v>
      </c>
      <c r="D412" t="s">
        <v>70</v>
      </c>
      <c r="E412" t="s">
        <v>20</v>
      </c>
      <c r="F412">
        <v>12994</v>
      </c>
      <c r="G412">
        <v>0</v>
      </c>
      <c r="H412" t="s">
        <v>33</v>
      </c>
      <c r="I412" t="s">
        <v>31</v>
      </c>
      <c r="J412">
        <v>2</v>
      </c>
      <c r="K412">
        <v>1</v>
      </c>
      <c r="L412" t="s">
        <v>23</v>
      </c>
      <c r="M412">
        <v>3</v>
      </c>
      <c r="N412">
        <v>10</v>
      </c>
      <c r="O412">
        <v>6</v>
      </c>
      <c r="P412">
        <v>1</v>
      </c>
      <c r="Q412" t="s">
        <v>23</v>
      </c>
    </row>
    <row r="413" spans="1:17" x14ac:dyDescent="0.3">
      <c r="A413" t="s">
        <v>458</v>
      </c>
      <c r="B413">
        <v>36</v>
      </c>
      <c r="C413" t="s">
        <v>18</v>
      </c>
      <c r="D413" t="s">
        <v>74</v>
      </c>
      <c r="E413" t="s">
        <v>99</v>
      </c>
      <c r="F413">
        <v>5991</v>
      </c>
      <c r="G413">
        <v>1</v>
      </c>
      <c r="H413" t="s">
        <v>21</v>
      </c>
      <c r="I413" t="s">
        <v>31</v>
      </c>
      <c r="J413">
        <v>1</v>
      </c>
      <c r="K413">
        <v>2</v>
      </c>
      <c r="L413" t="s">
        <v>27</v>
      </c>
      <c r="M413">
        <v>4</v>
      </c>
      <c r="N413">
        <v>3</v>
      </c>
      <c r="O413">
        <v>4</v>
      </c>
      <c r="P413">
        <v>4</v>
      </c>
      <c r="Q413" t="s">
        <v>27</v>
      </c>
    </row>
    <row r="414" spans="1:17" x14ac:dyDescent="0.3">
      <c r="A414" t="s">
        <v>459</v>
      </c>
      <c r="B414">
        <v>37</v>
      </c>
      <c r="C414" t="s">
        <v>35</v>
      </c>
      <c r="D414" t="s">
        <v>74</v>
      </c>
      <c r="E414" t="s">
        <v>20</v>
      </c>
      <c r="F414">
        <v>15179</v>
      </c>
      <c r="G414">
        <v>5</v>
      </c>
      <c r="H414" t="s">
        <v>37</v>
      </c>
      <c r="I414" t="s">
        <v>31</v>
      </c>
      <c r="J414">
        <v>3</v>
      </c>
      <c r="K414">
        <v>3</v>
      </c>
      <c r="L414" t="s">
        <v>27</v>
      </c>
      <c r="M414">
        <v>4</v>
      </c>
      <c r="N414">
        <v>25</v>
      </c>
      <c r="O414">
        <v>2</v>
      </c>
      <c r="P414">
        <v>2</v>
      </c>
      <c r="Q414" t="s">
        <v>27</v>
      </c>
    </row>
    <row r="415" spans="1:17" x14ac:dyDescent="0.3">
      <c r="A415" t="s">
        <v>460</v>
      </c>
      <c r="B415">
        <v>33</v>
      </c>
      <c r="C415" t="s">
        <v>18</v>
      </c>
      <c r="D415" t="s">
        <v>74</v>
      </c>
      <c r="E415" t="s">
        <v>75</v>
      </c>
      <c r="F415">
        <v>6707</v>
      </c>
      <c r="G415">
        <v>3</v>
      </c>
      <c r="H415" t="s">
        <v>37</v>
      </c>
      <c r="I415" t="s">
        <v>31</v>
      </c>
      <c r="J415">
        <v>1</v>
      </c>
      <c r="K415">
        <v>3</v>
      </c>
      <c r="L415" t="s">
        <v>27</v>
      </c>
      <c r="M415">
        <v>3</v>
      </c>
      <c r="N415">
        <v>22</v>
      </c>
      <c r="O415">
        <v>4</v>
      </c>
      <c r="P415">
        <v>1</v>
      </c>
      <c r="Q415" t="s">
        <v>27</v>
      </c>
    </row>
    <row r="416" spans="1:17" x14ac:dyDescent="0.3">
      <c r="A416" t="s">
        <v>461</v>
      </c>
      <c r="B416">
        <v>44</v>
      </c>
      <c r="C416" t="s">
        <v>35</v>
      </c>
      <c r="D416" t="s">
        <v>19</v>
      </c>
      <c r="E416" t="s">
        <v>36</v>
      </c>
      <c r="F416">
        <v>8652</v>
      </c>
      <c r="G416">
        <v>1</v>
      </c>
      <c r="H416" t="s">
        <v>33</v>
      </c>
      <c r="I416" t="s">
        <v>56</v>
      </c>
      <c r="J416">
        <v>4</v>
      </c>
      <c r="K416">
        <v>1</v>
      </c>
      <c r="L416" t="s">
        <v>23</v>
      </c>
      <c r="M416">
        <v>3</v>
      </c>
      <c r="N416">
        <v>1</v>
      </c>
      <c r="O416">
        <v>4</v>
      </c>
      <c r="P416">
        <v>3</v>
      </c>
      <c r="Q416" t="s">
        <v>27</v>
      </c>
    </row>
    <row r="417" spans="1:17" x14ac:dyDescent="0.3">
      <c r="A417" t="s">
        <v>462</v>
      </c>
      <c r="B417">
        <v>34</v>
      </c>
      <c r="C417" t="s">
        <v>35</v>
      </c>
      <c r="D417" t="s">
        <v>29</v>
      </c>
      <c r="E417" t="s">
        <v>20</v>
      </c>
      <c r="F417">
        <v>15911</v>
      </c>
      <c r="G417">
        <v>4</v>
      </c>
      <c r="H417" t="s">
        <v>37</v>
      </c>
      <c r="I417" t="s">
        <v>31</v>
      </c>
      <c r="J417">
        <v>2</v>
      </c>
      <c r="K417">
        <v>2</v>
      </c>
      <c r="L417" t="s">
        <v>27</v>
      </c>
      <c r="M417">
        <v>3</v>
      </c>
      <c r="N417">
        <v>1</v>
      </c>
      <c r="O417">
        <v>4</v>
      </c>
      <c r="P417">
        <v>3</v>
      </c>
      <c r="Q417" t="s">
        <v>27</v>
      </c>
    </row>
    <row r="418" spans="1:17" x14ac:dyDescent="0.3">
      <c r="A418" t="s">
        <v>463</v>
      </c>
      <c r="B418">
        <v>53</v>
      </c>
      <c r="C418" t="s">
        <v>18</v>
      </c>
      <c r="D418" t="s">
        <v>25</v>
      </c>
      <c r="E418" t="s">
        <v>61</v>
      </c>
      <c r="F418">
        <v>8888</v>
      </c>
      <c r="G418">
        <v>4</v>
      </c>
      <c r="H418" t="s">
        <v>37</v>
      </c>
      <c r="I418" t="s">
        <v>31</v>
      </c>
      <c r="J418">
        <v>1</v>
      </c>
      <c r="K418">
        <v>4</v>
      </c>
      <c r="L418" t="s">
        <v>27</v>
      </c>
      <c r="M418">
        <v>3</v>
      </c>
      <c r="N418">
        <v>10</v>
      </c>
      <c r="O418">
        <v>4</v>
      </c>
      <c r="P418">
        <v>2</v>
      </c>
      <c r="Q418" t="s">
        <v>27</v>
      </c>
    </row>
    <row r="419" spans="1:17" x14ac:dyDescent="0.3">
      <c r="A419" t="s">
        <v>464</v>
      </c>
      <c r="B419">
        <v>34</v>
      </c>
      <c r="C419" t="s">
        <v>18</v>
      </c>
      <c r="D419" t="s">
        <v>44</v>
      </c>
      <c r="E419" t="s">
        <v>45</v>
      </c>
      <c r="F419">
        <v>4582</v>
      </c>
      <c r="G419">
        <v>0</v>
      </c>
      <c r="H419" t="s">
        <v>37</v>
      </c>
      <c r="I419" t="s">
        <v>22</v>
      </c>
      <c r="J419">
        <v>3</v>
      </c>
      <c r="K419">
        <v>2</v>
      </c>
      <c r="L419" t="s">
        <v>27</v>
      </c>
      <c r="M419">
        <v>3</v>
      </c>
      <c r="N419">
        <v>25</v>
      </c>
      <c r="O419">
        <v>6</v>
      </c>
      <c r="P419">
        <v>3</v>
      </c>
      <c r="Q419" t="s">
        <v>27</v>
      </c>
    </row>
    <row r="420" spans="1:17" x14ac:dyDescent="0.3">
      <c r="A420" t="s">
        <v>465</v>
      </c>
      <c r="B420">
        <v>39</v>
      </c>
      <c r="C420" t="s">
        <v>18</v>
      </c>
      <c r="D420" t="s">
        <v>74</v>
      </c>
      <c r="E420" t="s">
        <v>99</v>
      </c>
      <c r="F420">
        <v>9325</v>
      </c>
      <c r="G420">
        <v>5</v>
      </c>
      <c r="H420" t="s">
        <v>37</v>
      </c>
      <c r="I420" t="s">
        <v>22</v>
      </c>
      <c r="J420">
        <v>1</v>
      </c>
      <c r="K420">
        <v>3</v>
      </c>
      <c r="L420" t="s">
        <v>27</v>
      </c>
      <c r="M420">
        <v>3</v>
      </c>
      <c r="N420">
        <v>9</v>
      </c>
      <c r="O420">
        <v>4</v>
      </c>
      <c r="P420">
        <v>3</v>
      </c>
      <c r="Q420" t="s">
        <v>27</v>
      </c>
    </row>
    <row r="421" spans="1:17" x14ac:dyDescent="0.3">
      <c r="A421" t="s">
        <v>466</v>
      </c>
      <c r="B421">
        <v>42</v>
      </c>
      <c r="C421" t="s">
        <v>35</v>
      </c>
      <c r="D421" t="s">
        <v>19</v>
      </c>
      <c r="E421" t="s">
        <v>36</v>
      </c>
      <c r="F421">
        <v>5242</v>
      </c>
      <c r="G421">
        <v>0</v>
      </c>
      <c r="H421" t="s">
        <v>46</v>
      </c>
      <c r="I421" t="s">
        <v>31</v>
      </c>
      <c r="J421">
        <v>2</v>
      </c>
      <c r="K421">
        <v>3</v>
      </c>
      <c r="L421" t="s">
        <v>27</v>
      </c>
      <c r="M421">
        <v>3</v>
      </c>
      <c r="N421">
        <v>20</v>
      </c>
      <c r="O421">
        <v>6</v>
      </c>
      <c r="P421">
        <v>4</v>
      </c>
      <c r="Q421" t="s">
        <v>27</v>
      </c>
    </row>
    <row r="422" spans="1:17" x14ac:dyDescent="0.3">
      <c r="A422" t="s">
        <v>467</v>
      </c>
      <c r="B422">
        <v>39</v>
      </c>
      <c r="C422" t="s">
        <v>35</v>
      </c>
      <c r="D422" t="s">
        <v>25</v>
      </c>
      <c r="E422" t="s">
        <v>20</v>
      </c>
      <c r="F422">
        <v>13009</v>
      </c>
      <c r="G422">
        <v>7</v>
      </c>
      <c r="H422" t="s">
        <v>33</v>
      </c>
      <c r="I422" t="s">
        <v>22</v>
      </c>
      <c r="J422">
        <v>4</v>
      </c>
      <c r="K422">
        <v>2</v>
      </c>
      <c r="L422" t="s">
        <v>27</v>
      </c>
      <c r="M422">
        <v>1</v>
      </c>
      <c r="N422">
        <v>13</v>
      </c>
      <c r="O422">
        <v>0</v>
      </c>
      <c r="P422">
        <v>4</v>
      </c>
      <c r="Q422" t="s">
        <v>27</v>
      </c>
    </row>
    <row r="423" spans="1:17" x14ac:dyDescent="0.3">
      <c r="A423" t="s">
        <v>468</v>
      </c>
      <c r="B423">
        <v>37</v>
      </c>
      <c r="C423" t="s">
        <v>18</v>
      </c>
      <c r="D423" t="s">
        <v>25</v>
      </c>
      <c r="E423" t="s">
        <v>61</v>
      </c>
      <c r="F423">
        <v>7792</v>
      </c>
      <c r="G423">
        <v>4</v>
      </c>
      <c r="H423" t="s">
        <v>46</v>
      </c>
      <c r="I423" t="s">
        <v>56</v>
      </c>
      <c r="J423">
        <v>2</v>
      </c>
      <c r="K423">
        <v>3</v>
      </c>
      <c r="L423" t="s">
        <v>27</v>
      </c>
      <c r="M423">
        <v>3</v>
      </c>
      <c r="N423">
        <v>4</v>
      </c>
      <c r="O423">
        <v>2</v>
      </c>
      <c r="P423">
        <v>1</v>
      </c>
      <c r="Q423" t="s">
        <v>27</v>
      </c>
    </row>
    <row r="424" spans="1:17" x14ac:dyDescent="0.3">
      <c r="A424" t="s">
        <v>469</v>
      </c>
      <c r="B424">
        <v>32</v>
      </c>
      <c r="C424" t="s">
        <v>18</v>
      </c>
      <c r="D424" t="s">
        <v>44</v>
      </c>
      <c r="E424" t="s">
        <v>45</v>
      </c>
      <c r="F424">
        <v>9204</v>
      </c>
      <c r="G424">
        <v>1</v>
      </c>
      <c r="H424" t="s">
        <v>37</v>
      </c>
      <c r="I424" t="s">
        <v>31</v>
      </c>
      <c r="J424">
        <v>1</v>
      </c>
      <c r="K424">
        <v>2</v>
      </c>
      <c r="L424" t="s">
        <v>23</v>
      </c>
      <c r="M424">
        <v>4</v>
      </c>
      <c r="N424">
        <v>2</v>
      </c>
      <c r="O424">
        <v>0</v>
      </c>
      <c r="P424">
        <v>3</v>
      </c>
      <c r="Q424" t="s">
        <v>23</v>
      </c>
    </row>
    <row r="425" spans="1:17" x14ac:dyDescent="0.3">
      <c r="A425" t="s">
        <v>470</v>
      </c>
      <c r="B425">
        <v>27</v>
      </c>
      <c r="C425" t="s">
        <v>18</v>
      </c>
      <c r="D425" t="s">
        <v>25</v>
      </c>
      <c r="E425" t="s">
        <v>26</v>
      </c>
      <c r="F425">
        <v>9999</v>
      </c>
      <c r="G425">
        <v>8</v>
      </c>
      <c r="H425" t="s">
        <v>37</v>
      </c>
      <c r="I425" t="s">
        <v>31</v>
      </c>
      <c r="J425">
        <v>4</v>
      </c>
      <c r="K425">
        <v>1</v>
      </c>
      <c r="L425" t="s">
        <v>27</v>
      </c>
      <c r="M425">
        <v>3</v>
      </c>
      <c r="N425">
        <v>19</v>
      </c>
      <c r="O425">
        <v>0</v>
      </c>
      <c r="P425">
        <v>1</v>
      </c>
      <c r="Q425" t="s">
        <v>27</v>
      </c>
    </row>
    <row r="426" spans="1:17" x14ac:dyDescent="0.3">
      <c r="A426" t="s">
        <v>471</v>
      </c>
      <c r="B426">
        <v>32</v>
      </c>
      <c r="C426" t="s">
        <v>35</v>
      </c>
      <c r="D426" t="s">
        <v>74</v>
      </c>
      <c r="E426" t="s">
        <v>75</v>
      </c>
      <c r="F426">
        <v>6066</v>
      </c>
      <c r="G426">
        <v>0</v>
      </c>
      <c r="H426" t="s">
        <v>46</v>
      </c>
      <c r="I426" t="s">
        <v>31</v>
      </c>
      <c r="J426">
        <v>4</v>
      </c>
      <c r="K426">
        <v>1</v>
      </c>
      <c r="L426" t="s">
        <v>27</v>
      </c>
      <c r="M426">
        <v>2</v>
      </c>
      <c r="N426">
        <v>4</v>
      </c>
      <c r="O426">
        <v>3</v>
      </c>
      <c r="P426">
        <v>3</v>
      </c>
      <c r="Q426" t="s">
        <v>23</v>
      </c>
    </row>
    <row r="427" spans="1:17" x14ac:dyDescent="0.3">
      <c r="A427" t="s">
        <v>472</v>
      </c>
      <c r="B427">
        <v>38</v>
      </c>
      <c r="C427" t="s">
        <v>35</v>
      </c>
      <c r="D427" t="s">
        <v>44</v>
      </c>
      <c r="E427" t="s">
        <v>54</v>
      </c>
      <c r="F427">
        <v>7168</v>
      </c>
      <c r="G427">
        <v>5</v>
      </c>
      <c r="H427" t="s">
        <v>21</v>
      </c>
      <c r="I427" t="s">
        <v>56</v>
      </c>
      <c r="J427">
        <v>3</v>
      </c>
      <c r="K427">
        <v>1</v>
      </c>
      <c r="L427" t="s">
        <v>27</v>
      </c>
      <c r="M427">
        <v>3</v>
      </c>
      <c r="N427">
        <v>15</v>
      </c>
      <c r="O427">
        <v>2</v>
      </c>
      <c r="P427">
        <v>4</v>
      </c>
      <c r="Q427" t="s">
        <v>27</v>
      </c>
    </row>
    <row r="428" spans="1:17" x14ac:dyDescent="0.3">
      <c r="A428" t="s">
        <v>473</v>
      </c>
      <c r="B428">
        <v>20</v>
      </c>
      <c r="C428" t="s">
        <v>35</v>
      </c>
      <c r="D428" t="s">
        <v>19</v>
      </c>
      <c r="E428" t="s">
        <v>36</v>
      </c>
      <c r="F428">
        <v>3470</v>
      </c>
      <c r="G428">
        <v>1</v>
      </c>
      <c r="H428" t="s">
        <v>37</v>
      </c>
      <c r="I428" t="s">
        <v>22</v>
      </c>
      <c r="J428">
        <v>1</v>
      </c>
      <c r="K428">
        <v>2</v>
      </c>
      <c r="L428" t="s">
        <v>27</v>
      </c>
      <c r="M428">
        <v>4</v>
      </c>
      <c r="N428">
        <v>17</v>
      </c>
      <c r="O428">
        <v>4</v>
      </c>
      <c r="P428">
        <v>1</v>
      </c>
      <c r="Q428" t="s">
        <v>27</v>
      </c>
    </row>
    <row r="429" spans="1:17" x14ac:dyDescent="0.3">
      <c r="A429" t="s">
        <v>474</v>
      </c>
      <c r="B429">
        <v>45</v>
      </c>
      <c r="C429" t="s">
        <v>35</v>
      </c>
      <c r="D429" t="s">
        <v>19</v>
      </c>
      <c r="E429" t="s">
        <v>20</v>
      </c>
      <c r="F429">
        <v>12960</v>
      </c>
      <c r="G429">
        <v>1</v>
      </c>
      <c r="H429" t="s">
        <v>37</v>
      </c>
      <c r="I429" t="s">
        <v>31</v>
      </c>
      <c r="J429">
        <v>4</v>
      </c>
      <c r="K429">
        <v>2</v>
      </c>
      <c r="L429" t="s">
        <v>23</v>
      </c>
      <c r="M429">
        <v>3</v>
      </c>
      <c r="N429">
        <v>18</v>
      </c>
      <c r="O429">
        <v>1</v>
      </c>
      <c r="P429">
        <v>1</v>
      </c>
      <c r="Q429" t="s">
        <v>23</v>
      </c>
    </row>
    <row r="430" spans="1:17" x14ac:dyDescent="0.3">
      <c r="A430" t="s">
        <v>475</v>
      </c>
      <c r="B430">
        <v>32</v>
      </c>
      <c r="C430" t="s">
        <v>18</v>
      </c>
      <c r="D430" t="s">
        <v>19</v>
      </c>
      <c r="E430" t="s">
        <v>36</v>
      </c>
      <c r="F430">
        <v>10881</v>
      </c>
      <c r="G430">
        <v>8</v>
      </c>
      <c r="H430" t="s">
        <v>37</v>
      </c>
      <c r="I430" t="s">
        <v>31</v>
      </c>
      <c r="J430">
        <v>1</v>
      </c>
      <c r="K430">
        <v>1</v>
      </c>
      <c r="L430" t="s">
        <v>23</v>
      </c>
      <c r="M430">
        <v>3</v>
      </c>
      <c r="N430">
        <v>14</v>
      </c>
      <c r="O430">
        <v>0</v>
      </c>
      <c r="P430">
        <v>4</v>
      </c>
      <c r="Q430" t="s">
        <v>27</v>
      </c>
    </row>
    <row r="431" spans="1:17" x14ac:dyDescent="0.3">
      <c r="A431" t="s">
        <v>476</v>
      </c>
      <c r="B431">
        <v>29</v>
      </c>
      <c r="C431" t="s">
        <v>18</v>
      </c>
      <c r="D431" t="s">
        <v>25</v>
      </c>
      <c r="E431" t="s">
        <v>20</v>
      </c>
      <c r="F431">
        <v>10911</v>
      </c>
      <c r="G431">
        <v>1</v>
      </c>
      <c r="H431" t="s">
        <v>37</v>
      </c>
      <c r="I431" t="s">
        <v>22</v>
      </c>
      <c r="J431">
        <v>3</v>
      </c>
      <c r="K431">
        <v>2</v>
      </c>
      <c r="L431" t="s">
        <v>27</v>
      </c>
      <c r="M431">
        <v>2</v>
      </c>
      <c r="N431">
        <v>26</v>
      </c>
      <c r="O431">
        <v>1</v>
      </c>
      <c r="P431">
        <v>2</v>
      </c>
      <c r="Q431" t="s">
        <v>27</v>
      </c>
    </row>
    <row r="432" spans="1:17" x14ac:dyDescent="0.3">
      <c r="A432" t="s">
        <v>477</v>
      </c>
      <c r="B432">
        <v>31</v>
      </c>
      <c r="C432" t="s">
        <v>18</v>
      </c>
      <c r="D432" t="s">
        <v>44</v>
      </c>
      <c r="E432" t="s">
        <v>54</v>
      </c>
      <c r="F432">
        <v>6190</v>
      </c>
      <c r="G432">
        <v>0</v>
      </c>
      <c r="H432" t="s">
        <v>21</v>
      </c>
      <c r="I432" t="s">
        <v>31</v>
      </c>
      <c r="J432">
        <v>4</v>
      </c>
      <c r="K432">
        <v>3</v>
      </c>
      <c r="L432" t="s">
        <v>27</v>
      </c>
      <c r="M432">
        <v>4</v>
      </c>
      <c r="N432">
        <v>18</v>
      </c>
      <c r="O432">
        <v>4</v>
      </c>
      <c r="P432">
        <v>2</v>
      </c>
      <c r="Q432" t="s">
        <v>27</v>
      </c>
    </row>
    <row r="433" spans="1:17" x14ac:dyDescent="0.3">
      <c r="A433" t="s">
        <v>478</v>
      </c>
      <c r="B433">
        <v>29</v>
      </c>
      <c r="C433" t="s">
        <v>18</v>
      </c>
      <c r="D433" t="s">
        <v>25</v>
      </c>
      <c r="E433" t="s">
        <v>26</v>
      </c>
      <c r="F433">
        <v>7753</v>
      </c>
      <c r="G433">
        <v>2</v>
      </c>
      <c r="H433" t="s">
        <v>21</v>
      </c>
      <c r="I433" t="s">
        <v>31</v>
      </c>
      <c r="J433">
        <v>3</v>
      </c>
      <c r="K433">
        <v>3</v>
      </c>
      <c r="L433" t="s">
        <v>27</v>
      </c>
      <c r="M433">
        <v>3</v>
      </c>
      <c r="N433">
        <v>30</v>
      </c>
      <c r="O433">
        <v>4</v>
      </c>
      <c r="P433">
        <v>2</v>
      </c>
      <c r="Q433" t="s">
        <v>27</v>
      </c>
    </row>
    <row r="434" spans="1:17" x14ac:dyDescent="0.3">
      <c r="A434" t="s">
        <v>479</v>
      </c>
      <c r="B434">
        <v>31</v>
      </c>
      <c r="C434" t="s">
        <v>35</v>
      </c>
      <c r="D434" t="s">
        <v>74</v>
      </c>
      <c r="E434" t="s">
        <v>75</v>
      </c>
      <c r="F434">
        <v>8896</v>
      </c>
      <c r="G434">
        <v>5</v>
      </c>
      <c r="H434" t="s">
        <v>33</v>
      </c>
      <c r="I434" t="s">
        <v>22</v>
      </c>
      <c r="J434">
        <v>1</v>
      </c>
      <c r="K434">
        <v>3</v>
      </c>
      <c r="L434" t="s">
        <v>27</v>
      </c>
      <c r="M434">
        <v>3</v>
      </c>
      <c r="N434">
        <v>29</v>
      </c>
      <c r="O434">
        <v>3</v>
      </c>
      <c r="P434">
        <v>2</v>
      </c>
      <c r="Q434" t="s">
        <v>27</v>
      </c>
    </row>
    <row r="435" spans="1:17" x14ac:dyDescent="0.3">
      <c r="A435" t="s">
        <v>480</v>
      </c>
      <c r="B435">
        <v>36</v>
      </c>
      <c r="C435" t="s">
        <v>35</v>
      </c>
      <c r="D435" t="s">
        <v>74</v>
      </c>
      <c r="E435" t="s">
        <v>99</v>
      </c>
      <c r="F435">
        <v>8552</v>
      </c>
      <c r="G435">
        <v>4</v>
      </c>
      <c r="H435" t="s">
        <v>21</v>
      </c>
      <c r="I435" t="s">
        <v>22</v>
      </c>
      <c r="J435">
        <v>3</v>
      </c>
      <c r="K435">
        <v>2</v>
      </c>
      <c r="L435" t="s">
        <v>27</v>
      </c>
      <c r="M435">
        <v>2</v>
      </c>
      <c r="N435">
        <v>29</v>
      </c>
      <c r="O435">
        <v>6</v>
      </c>
      <c r="P435">
        <v>4</v>
      </c>
      <c r="Q435" t="s">
        <v>27</v>
      </c>
    </row>
    <row r="436" spans="1:17" x14ac:dyDescent="0.3">
      <c r="A436" t="s">
        <v>481</v>
      </c>
      <c r="B436">
        <v>30</v>
      </c>
      <c r="C436" t="s">
        <v>35</v>
      </c>
      <c r="D436" t="s">
        <v>44</v>
      </c>
      <c r="E436" t="s">
        <v>45</v>
      </c>
      <c r="F436">
        <v>5483</v>
      </c>
      <c r="G436">
        <v>2</v>
      </c>
      <c r="H436" t="s">
        <v>46</v>
      </c>
      <c r="I436" t="s">
        <v>31</v>
      </c>
      <c r="J436">
        <v>1</v>
      </c>
      <c r="K436">
        <v>1</v>
      </c>
      <c r="L436" t="s">
        <v>27</v>
      </c>
      <c r="M436">
        <v>3</v>
      </c>
      <c r="N436">
        <v>15</v>
      </c>
      <c r="O436">
        <v>4</v>
      </c>
      <c r="P436">
        <v>4</v>
      </c>
      <c r="Q436" t="s">
        <v>27</v>
      </c>
    </row>
    <row r="437" spans="1:17" x14ac:dyDescent="0.3">
      <c r="A437" t="s">
        <v>482</v>
      </c>
      <c r="B437">
        <v>34</v>
      </c>
      <c r="C437" t="s">
        <v>35</v>
      </c>
      <c r="D437" t="s">
        <v>25</v>
      </c>
      <c r="E437" t="s">
        <v>20</v>
      </c>
      <c r="F437">
        <v>15322</v>
      </c>
      <c r="G437">
        <v>2</v>
      </c>
      <c r="H437" t="s">
        <v>21</v>
      </c>
      <c r="I437" t="s">
        <v>31</v>
      </c>
      <c r="J437">
        <v>1</v>
      </c>
      <c r="K437">
        <v>2</v>
      </c>
      <c r="L437" t="s">
        <v>27</v>
      </c>
      <c r="M437">
        <v>4</v>
      </c>
      <c r="N437">
        <v>18</v>
      </c>
      <c r="O437">
        <v>5</v>
      </c>
      <c r="P437">
        <v>2</v>
      </c>
      <c r="Q437" t="s">
        <v>27</v>
      </c>
    </row>
    <row r="438" spans="1:17" x14ac:dyDescent="0.3">
      <c r="A438" t="s">
        <v>483</v>
      </c>
      <c r="B438">
        <v>39</v>
      </c>
      <c r="C438" t="s">
        <v>18</v>
      </c>
      <c r="D438" t="s">
        <v>25</v>
      </c>
      <c r="E438" t="s">
        <v>26</v>
      </c>
      <c r="F438">
        <v>6916</v>
      </c>
      <c r="G438">
        <v>3</v>
      </c>
      <c r="H438" t="s">
        <v>33</v>
      </c>
      <c r="I438" t="s">
        <v>31</v>
      </c>
      <c r="J438">
        <v>2</v>
      </c>
      <c r="K438">
        <v>3</v>
      </c>
      <c r="L438" t="s">
        <v>27</v>
      </c>
      <c r="M438">
        <v>3</v>
      </c>
      <c r="N438">
        <v>19</v>
      </c>
      <c r="O438">
        <v>6</v>
      </c>
      <c r="P438">
        <v>4</v>
      </c>
      <c r="Q438" t="s">
        <v>27</v>
      </c>
    </row>
    <row r="439" spans="1:17" x14ac:dyDescent="0.3">
      <c r="A439" t="s">
        <v>484</v>
      </c>
      <c r="B439">
        <v>33</v>
      </c>
      <c r="C439" t="s">
        <v>18</v>
      </c>
      <c r="D439" t="s">
        <v>25</v>
      </c>
      <c r="E439" t="s">
        <v>26</v>
      </c>
      <c r="F439">
        <v>9388</v>
      </c>
      <c r="G439">
        <v>9</v>
      </c>
      <c r="H439" t="s">
        <v>37</v>
      </c>
      <c r="I439" t="s">
        <v>31</v>
      </c>
      <c r="J439">
        <v>2</v>
      </c>
      <c r="K439">
        <v>3</v>
      </c>
      <c r="L439" t="s">
        <v>27</v>
      </c>
      <c r="M439">
        <v>2</v>
      </c>
      <c r="N439">
        <v>3</v>
      </c>
      <c r="O439">
        <v>6</v>
      </c>
      <c r="P439">
        <v>2</v>
      </c>
      <c r="Q439" t="s">
        <v>27</v>
      </c>
    </row>
    <row r="440" spans="1:17" x14ac:dyDescent="0.3">
      <c r="A440" t="s">
        <v>485</v>
      </c>
      <c r="B440">
        <v>37</v>
      </c>
      <c r="C440" t="s">
        <v>35</v>
      </c>
      <c r="D440" t="s">
        <v>74</v>
      </c>
      <c r="E440" t="s">
        <v>75</v>
      </c>
      <c r="F440">
        <v>6463</v>
      </c>
      <c r="G440">
        <v>0</v>
      </c>
      <c r="H440" t="s">
        <v>37</v>
      </c>
      <c r="I440" t="s">
        <v>56</v>
      </c>
      <c r="J440">
        <v>1</v>
      </c>
      <c r="K440">
        <v>2</v>
      </c>
      <c r="L440" t="s">
        <v>23</v>
      </c>
      <c r="M440">
        <v>3</v>
      </c>
      <c r="N440">
        <v>5</v>
      </c>
      <c r="O440">
        <v>4</v>
      </c>
      <c r="P440">
        <v>4</v>
      </c>
      <c r="Q440" t="s">
        <v>27</v>
      </c>
    </row>
    <row r="441" spans="1:17" x14ac:dyDescent="0.3">
      <c r="A441" t="s">
        <v>486</v>
      </c>
      <c r="B441">
        <v>30</v>
      </c>
      <c r="C441" t="s">
        <v>18</v>
      </c>
      <c r="D441" t="s">
        <v>74</v>
      </c>
      <c r="E441" t="s">
        <v>99</v>
      </c>
      <c r="F441">
        <v>7166</v>
      </c>
      <c r="G441">
        <v>1</v>
      </c>
      <c r="H441" t="s">
        <v>21</v>
      </c>
      <c r="I441" t="s">
        <v>31</v>
      </c>
      <c r="J441">
        <v>1</v>
      </c>
      <c r="K441">
        <v>3</v>
      </c>
      <c r="L441" t="s">
        <v>27</v>
      </c>
      <c r="M441">
        <v>2</v>
      </c>
      <c r="N441">
        <v>19</v>
      </c>
      <c r="O441">
        <v>1</v>
      </c>
      <c r="P441">
        <v>4</v>
      </c>
      <c r="Q441" t="s">
        <v>23</v>
      </c>
    </row>
    <row r="442" spans="1:17" x14ac:dyDescent="0.3">
      <c r="A442" t="s">
        <v>487</v>
      </c>
      <c r="B442">
        <v>36</v>
      </c>
      <c r="C442" t="s">
        <v>18</v>
      </c>
      <c r="D442" t="s">
        <v>44</v>
      </c>
      <c r="E442" t="s">
        <v>54</v>
      </c>
      <c r="F442">
        <v>9855</v>
      </c>
      <c r="G442">
        <v>11</v>
      </c>
      <c r="H442" t="s">
        <v>46</v>
      </c>
      <c r="I442" t="s">
        <v>22</v>
      </c>
      <c r="J442">
        <v>2</v>
      </c>
      <c r="K442">
        <v>3</v>
      </c>
      <c r="L442" t="s">
        <v>23</v>
      </c>
      <c r="M442">
        <v>2</v>
      </c>
      <c r="N442">
        <v>27</v>
      </c>
      <c r="O442">
        <v>1</v>
      </c>
      <c r="P442">
        <v>3</v>
      </c>
      <c r="Q442" t="s">
        <v>27</v>
      </c>
    </row>
    <row r="443" spans="1:17" x14ac:dyDescent="0.3">
      <c r="A443" t="s">
        <v>488</v>
      </c>
      <c r="B443">
        <v>24</v>
      </c>
      <c r="C443" t="s">
        <v>35</v>
      </c>
      <c r="D443" t="s">
        <v>70</v>
      </c>
      <c r="E443" t="s">
        <v>144</v>
      </c>
      <c r="F443">
        <v>8051</v>
      </c>
      <c r="G443">
        <v>6</v>
      </c>
      <c r="H443" t="s">
        <v>37</v>
      </c>
      <c r="I443" t="s">
        <v>22</v>
      </c>
      <c r="J443">
        <v>2</v>
      </c>
      <c r="K443">
        <v>4</v>
      </c>
      <c r="L443" t="s">
        <v>27</v>
      </c>
      <c r="M443">
        <v>4</v>
      </c>
      <c r="N443">
        <v>5</v>
      </c>
      <c r="O443">
        <v>0</v>
      </c>
      <c r="P443">
        <v>1</v>
      </c>
      <c r="Q443" t="s">
        <v>27</v>
      </c>
    </row>
    <row r="444" spans="1:17" x14ac:dyDescent="0.3">
      <c r="A444" t="s">
        <v>489</v>
      </c>
      <c r="B444">
        <v>35</v>
      </c>
      <c r="C444" t="s">
        <v>35</v>
      </c>
      <c r="D444" t="s">
        <v>44</v>
      </c>
      <c r="E444" t="s">
        <v>45</v>
      </c>
      <c r="F444">
        <v>7764</v>
      </c>
      <c r="G444">
        <v>3</v>
      </c>
      <c r="H444" t="s">
        <v>37</v>
      </c>
      <c r="I444" t="s">
        <v>56</v>
      </c>
      <c r="J444">
        <v>3</v>
      </c>
      <c r="K444">
        <v>3</v>
      </c>
      <c r="L444" t="s">
        <v>23</v>
      </c>
      <c r="M444">
        <v>3</v>
      </c>
      <c r="N444">
        <v>27</v>
      </c>
      <c r="O444">
        <v>2</v>
      </c>
      <c r="P444">
        <v>2</v>
      </c>
      <c r="Q444" t="s">
        <v>27</v>
      </c>
    </row>
    <row r="445" spans="1:17" x14ac:dyDescent="0.3">
      <c r="A445" t="s">
        <v>490</v>
      </c>
      <c r="B445">
        <v>38</v>
      </c>
      <c r="C445" t="s">
        <v>35</v>
      </c>
      <c r="D445" t="s">
        <v>44</v>
      </c>
      <c r="E445" t="s">
        <v>54</v>
      </c>
      <c r="F445">
        <v>8330</v>
      </c>
      <c r="G445">
        <v>0</v>
      </c>
      <c r="H445" t="s">
        <v>37</v>
      </c>
      <c r="I445" t="s">
        <v>31</v>
      </c>
      <c r="J445">
        <v>1</v>
      </c>
      <c r="K445">
        <v>4</v>
      </c>
      <c r="L445" t="s">
        <v>23</v>
      </c>
      <c r="M445">
        <v>3</v>
      </c>
      <c r="N445">
        <v>3</v>
      </c>
      <c r="O445">
        <v>0</v>
      </c>
      <c r="P445">
        <v>1</v>
      </c>
      <c r="Q445" t="s">
        <v>23</v>
      </c>
    </row>
    <row r="446" spans="1:17" x14ac:dyDescent="0.3">
      <c r="A446" t="s">
        <v>491</v>
      </c>
      <c r="B446">
        <v>37</v>
      </c>
      <c r="C446" t="s">
        <v>18</v>
      </c>
      <c r="D446" t="s">
        <v>25</v>
      </c>
      <c r="E446" t="s">
        <v>61</v>
      </c>
      <c r="F446">
        <v>9590</v>
      </c>
      <c r="G446">
        <v>1</v>
      </c>
      <c r="H446" t="s">
        <v>21</v>
      </c>
      <c r="I446" t="s">
        <v>31</v>
      </c>
      <c r="J446">
        <v>1</v>
      </c>
      <c r="K446">
        <v>3</v>
      </c>
      <c r="L446" t="s">
        <v>23</v>
      </c>
      <c r="M446">
        <v>3</v>
      </c>
      <c r="N446">
        <v>20</v>
      </c>
      <c r="O446">
        <v>6</v>
      </c>
      <c r="P446">
        <v>1</v>
      </c>
      <c r="Q446" t="s">
        <v>27</v>
      </c>
    </row>
    <row r="447" spans="1:17" x14ac:dyDescent="0.3">
      <c r="A447" t="s">
        <v>492</v>
      </c>
      <c r="B447">
        <v>26</v>
      </c>
      <c r="C447" t="s">
        <v>18</v>
      </c>
      <c r="D447" t="s">
        <v>70</v>
      </c>
      <c r="E447" t="s">
        <v>144</v>
      </c>
      <c r="F447">
        <v>4627</v>
      </c>
      <c r="G447">
        <v>0</v>
      </c>
      <c r="H447" t="s">
        <v>46</v>
      </c>
      <c r="I447" t="s">
        <v>31</v>
      </c>
      <c r="J447">
        <v>1</v>
      </c>
      <c r="K447">
        <v>2</v>
      </c>
      <c r="L447" t="s">
        <v>27</v>
      </c>
      <c r="M447">
        <v>3</v>
      </c>
      <c r="N447">
        <v>16</v>
      </c>
      <c r="O447">
        <v>6</v>
      </c>
      <c r="P447">
        <v>4</v>
      </c>
      <c r="Q447" t="s">
        <v>23</v>
      </c>
    </row>
    <row r="448" spans="1:17" x14ac:dyDescent="0.3">
      <c r="A448" t="s">
        <v>493</v>
      </c>
      <c r="B448">
        <v>29</v>
      </c>
      <c r="C448" t="s">
        <v>18</v>
      </c>
      <c r="D448" t="s">
        <v>44</v>
      </c>
      <c r="E448" t="s">
        <v>20</v>
      </c>
      <c r="F448">
        <v>11968</v>
      </c>
      <c r="G448">
        <v>1</v>
      </c>
      <c r="H448" t="s">
        <v>37</v>
      </c>
      <c r="I448" t="s">
        <v>31</v>
      </c>
      <c r="J448">
        <v>4</v>
      </c>
      <c r="K448">
        <v>1</v>
      </c>
      <c r="L448" t="s">
        <v>27</v>
      </c>
      <c r="M448">
        <v>3</v>
      </c>
      <c r="N448">
        <v>18</v>
      </c>
      <c r="O448">
        <v>6</v>
      </c>
      <c r="P448">
        <v>4</v>
      </c>
      <c r="Q448" t="s">
        <v>27</v>
      </c>
    </row>
    <row r="449" spans="1:17" x14ac:dyDescent="0.3">
      <c r="A449" t="s">
        <v>494</v>
      </c>
      <c r="B449">
        <v>36</v>
      </c>
      <c r="C449" t="s">
        <v>35</v>
      </c>
      <c r="D449" t="s">
        <v>25</v>
      </c>
      <c r="E449" t="s">
        <v>26</v>
      </c>
      <c r="F449">
        <v>8490</v>
      </c>
      <c r="G449">
        <v>0</v>
      </c>
      <c r="H449" t="s">
        <v>21</v>
      </c>
      <c r="I449" t="s">
        <v>22</v>
      </c>
      <c r="J449">
        <v>1</v>
      </c>
      <c r="K449">
        <v>1</v>
      </c>
      <c r="L449" t="s">
        <v>27</v>
      </c>
      <c r="M449">
        <v>3</v>
      </c>
      <c r="N449">
        <v>26</v>
      </c>
      <c r="O449">
        <v>5</v>
      </c>
      <c r="P449">
        <v>1</v>
      </c>
      <c r="Q449" t="s">
        <v>27</v>
      </c>
    </row>
    <row r="450" spans="1:17" x14ac:dyDescent="0.3">
      <c r="A450" t="s">
        <v>495</v>
      </c>
      <c r="B450">
        <v>34</v>
      </c>
      <c r="C450" t="s">
        <v>18</v>
      </c>
      <c r="D450" t="s">
        <v>74</v>
      </c>
      <c r="E450" t="s">
        <v>75</v>
      </c>
      <c r="F450">
        <v>7114</v>
      </c>
      <c r="G450">
        <v>4</v>
      </c>
      <c r="H450" t="s">
        <v>37</v>
      </c>
      <c r="I450" t="s">
        <v>56</v>
      </c>
      <c r="J450">
        <v>4</v>
      </c>
      <c r="K450">
        <v>1</v>
      </c>
      <c r="L450" t="s">
        <v>27</v>
      </c>
      <c r="M450">
        <v>4</v>
      </c>
      <c r="N450">
        <v>6</v>
      </c>
      <c r="O450">
        <v>2</v>
      </c>
      <c r="P450">
        <v>4</v>
      </c>
      <c r="Q450" t="s">
        <v>27</v>
      </c>
    </row>
    <row r="451" spans="1:17" x14ac:dyDescent="0.3">
      <c r="A451" t="s">
        <v>496</v>
      </c>
      <c r="B451">
        <v>29</v>
      </c>
      <c r="C451" t="s">
        <v>35</v>
      </c>
      <c r="D451" t="s">
        <v>74</v>
      </c>
      <c r="E451" t="s">
        <v>75</v>
      </c>
      <c r="F451">
        <v>8292</v>
      </c>
      <c r="G451">
        <v>2</v>
      </c>
      <c r="H451" t="s">
        <v>33</v>
      </c>
      <c r="I451" t="s">
        <v>22</v>
      </c>
      <c r="J451">
        <v>1</v>
      </c>
      <c r="K451">
        <v>4</v>
      </c>
      <c r="L451" t="s">
        <v>27</v>
      </c>
      <c r="M451">
        <v>4</v>
      </c>
      <c r="N451">
        <v>16</v>
      </c>
      <c r="O451">
        <v>5</v>
      </c>
      <c r="P451">
        <v>4</v>
      </c>
      <c r="Q451" t="s">
        <v>27</v>
      </c>
    </row>
    <row r="452" spans="1:17" x14ac:dyDescent="0.3">
      <c r="A452" t="s">
        <v>497</v>
      </c>
      <c r="B452">
        <v>46</v>
      </c>
      <c r="C452" t="s">
        <v>35</v>
      </c>
      <c r="D452" t="s">
        <v>19</v>
      </c>
      <c r="E452" t="s">
        <v>40</v>
      </c>
      <c r="F452">
        <v>6486</v>
      </c>
      <c r="G452">
        <v>1</v>
      </c>
      <c r="H452" t="s">
        <v>37</v>
      </c>
      <c r="I452" t="s">
        <v>31</v>
      </c>
      <c r="J452">
        <v>4</v>
      </c>
      <c r="K452">
        <v>1</v>
      </c>
      <c r="L452" t="s">
        <v>23</v>
      </c>
      <c r="M452">
        <v>3</v>
      </c>
      <c r="N452">
        <v>6</v>
      </c>
      <c r="O452">
        <v>6</v>
      </c>
      <c r="P452">
        <v>1</v>
      </c>
      <c r="Q452" t="s">
        <v>27</v>
      </c>
    </row>
    <row r="453" spans="1:17" x14ac:dyDescent="0.3">
      <c r="A453" t="s">
        <v>498</v>
      </c>
      <c r="B453">
        <v>36</v>
      </c>
      <c r="C453" t="s">
        <v>18</v>
      </c>
      <c r="D453" t="s">
        <v>25</v>
      </c>
      <c r="E453" t="s">
        <v>20</v>
      </c>
      <c r="F453">
        <v>11454</v>
      </c>
      <c r="G453">
        <v>2</v>
      </c>
      <c r="H453" t="s">
        <v>37</v>
      </c>
      <c r="I453" t="s">
        <v>22</v>
      </c>
      <c r="J453">
        <v>2</v>
      </c>
      <c r="K453">
        <v>3</v>
      </c>
      <c r="L453" t="s">
        <v>27</v>
      </c>
      <c r="M453">
        <v>4</v>
      </c>
      <c r="N453">
        <v>10</v>
      </c>
      <c r="O453">
        <v>0</v>
      </c>
      <c r="P453">
        <v>2</v>
      </c>
      <c r="Q453" t="s">
        <v>27</v>
      </c>
    </row>
    <row r="454" spans="1:17" x14ac:dyDescent="0.3">
      <c r="A454" t="s">
        <v>499</v>
      </c>
      <c r="B454">
        <v>33</v>
      </c>
      <c r="C454" t="s">
        <v>35</v>
      </c>
      <c r="D454" t="s">
        <v>70</v>
      </c>
      <c r="E454" t="s">
        <v>144</v>
      </c>
      <c r="F454">
        <v>6426</v>
      </c>
      <c r="G454">
        <v>0</v>
      </c>
      <c r="H454" t="s">
        <v>37</v>
      </c>
      <c r="I454" t="s">
        <v>22</v>
      </c>
      <c r="J454">
        <v>1</v>
      </c>
      <c r="K454">
        <v>2</v>
      </c>
      <c r="L454" t="s">
        <v>27</v>
      </c>
      <c r="M454">
        <v>3</v>
      </c>
      <c r="N454">
        <v>8</v>
      </c>
      <c r="O454">
        <v>3</v>
      </c>
      <c r="P454">
        <v>2</v>
      </c>
      <c r="Q454" t="s">
        <v>27</v>
      </c>
    </row>
    <row r="455" spans="1:17" x14ac:dyDescent="0.3">
      <c r="A455" t="s">
        <v>500</v>
      </c>
      <c r="B455">
        <v>36</v>
      </c>
      <c r="C455" t="s">
        <v>18</v>
      </c>
      <c r="D455" t="s">
        <v>19</v>
      </c>
      <c r="E455" t="s">
        <v>36</v>
      </c>
      <c r="F455">
        <v>11019</v>
      </c>
      <c r="G455">
        <v>6</v>
      </c>
      <c r="H455" t="s">
        <v>37</v>
      </c>
      <c r="I455" t="s">
        <v>31</v>
      </c>
      <c r="J455">
        <v>3</v>
      </c>
      <c r="K455">
        <v>4</v>
      </c>
      <c r="L455" t="s">
        <v>27</v>
      </c>
      <c r="M455">
        <v>3</v>
      </c>
      <c r="N455">
        <v>5</v>
      </c>
      <c r="O455">
        <v>6</v>
      </c>
      <c r="P455">
        <v>1</v>
      </c>
      <c r="Q455" t="s">
        <v>27</v>
      </c>
    </row>
    <row r="456" spans="1:17" x14ac:dyDescent="0.3">
      <c r="A456" t="s">
        <v>501</v>
      </c>
      <c r="B456">
        <v>18</v>
      </c>
      <c r="C456" t="s">
        <v>35</v>
      </c>
      <c r="D456" t="s">
        <v>70</v>
      </c>
      <c r="E456" t="s">
        <v>144</v>
      </c>
      <c r="F456">
        <v>10735</v>
      </c>
      <c r="G456">
        <v>0</v>
      </c>
      <c r="H456" t="s">
        <v>33</v>
      </c>
      <c r="I456" t="s">
        <v>22</v>
      </c>
      <c r="J456">
        <v>4</v>
      </c>
      <c r="K456">
        <v>1</v>
      </c>
      <c r="L456" t="s">
        <v>23</v>
      </c>
      <c r="M456">
        <v>3</v>
      </c>
      <c r="N456">
        <v>30</v>
      </c>
      <c r="O456">
        <v>1</v>
      </c>
      <c r="P456">
        <v>2</v>
      </c>
      <c r="Q456" t="s">
        <v>27</v>
      </c>
    </row>
    <row r="457" spans="1:17" x14ac:dyDescent="0.3">
      <c r="A457" t="s">
        <v>502</v>
      </c>
      <c r="B457">
        <v>34</v>
      </c>
      <c r="C457" t="s">
        <v>18</v>
      </c>
      <c r="D457" t="s">
        <v>70</v>
      </c>
      <c r="E457" t="s">
        <v>71</v>
      </c>
      <c r="F457">
        <v>11967</v>
      </c>
      <c r="G457">
        <v>5</v>
      </c>
      <c r="H457" t="s">
        <v>46</v>
      </c>
      <c r="I457" t="s">
        <v>31</v>
      </c>
      <c r="J457">
        <v>1</v>
      </c>
      <c r="K457">
        <v>1</v>
      </c>
      <c r="L457" t="s">
        <v>27</v>
      </c>
      <c r="M457">
        <v>4</v>
      </c>
      <c r="N457">
        <v>16</v>
      </c>
      <c r="O457">
        <v>5</v>
      </c>
      <c r="P457">
        <v>1</v>
      </c>
      <c r="Q457" t="s">
        <v>27</v>
      </c>
    </row>
    <row r="458" spans="1:17" x14ac:dyDescent="0.3">
      <c r="A458" t="s">
        <v>503</v>
      </c>
      <c r="B458">
        <v>22</v>
      </c>
      <c r="C458" t="s">
        <v>18</v>
      </c>
      <c r="D458" t="s">
        <v>44</v>
      </c>
      <c r="E458" t="s">
        <v>45</v>
      </c>
      <c r="F458">
        <v>7870</v>
      </c>
      <c r="G458">
        <v>4</v>
      </c>
      <c r="H458" t="s">
        <v>37</v>
      </c>
      <c r="I458" t="s">
        <v>31</v>
      </c>
      <c r="J458">
        <v>1</v>
      </c>
      <c r="K458">
        <v>2</v>
      </c>
      <c r="L458" t="s">
        <v>27</v>
      </c>
      <c r="M458">
        <v>3</v>
      </c>
      <c r="N458">
        <v>17</v>
      </c>
      <c r="O458">
        <v>0</v>
      </c>
      <c r="P458">
        <v>3</v>
      </c>
      <c r="Q458" t="s">
        <v>27</v>
      </c>
    </row>
    <row r="459" spans="1:17" x14ac:dyDescent="0.3">
      <c r="A459" t="s">
        <v>504</v>
      </c>
      <c r="B459">
        <v>40</v>
      </c>
      <c r="C459" t="s">
        <v>18</v>
      </c>
      <c r="D459" t="s">
        <v>25</v>
      </c>
      <c r="E459" t="s">
        <v>26</v>
      </c>
      <c r="F459">
        <v>3919</v>
      </c>
      <c r="G459">
        <v>1</v>
      </c>
      <c r="H459" t="s">
        <v>37</v>
      </c>
      <c r="I459" t="s">
        <v>22</v>
      </c>
      <c r="J459">
        <v>3</v>
      </c>
      <c r="K459">
        <v>2</v>
      </c>
      <c r="L459" t="s">
        <v>27</v>
      </c>
      <c r="M459">
        <v>1</v>
      </c>
      <c r="N459">
        <v>17</v>
      </c>
      <c r="O459">
        <v>5</v>
      </c>
      <c r="P459">
        <v>2</v>
      </c>
      <c r="Q459" t="s">
        <v>27</v>
      </c>
    </row>
    <row r="460" spans="1:17" x14ac:dyDescent="0.3">
      <c r="A460" t="s">
        <v>505</v>
      </c>
      <c r="B460">
        <v>26</v>
      </c>
      <c r="C460" t="s">
        <v>18</v>
      </c>
      <c r="D460" t="s">
        <v>25</v>
      </c>
      <c r="E460" t="s">
        <v>26</v>
      </c>
      <c r="F460">
        <v>10764</v>
      </c>
      <c r="G460">
        <v>8</v>
      </c>
      <c r="H460" t="s">
        <v>37</v>
      </c>
      <c r="I460" t="s">
        <v>31</v>
      </c>
      <c r="J460">
        <v>4</v>
      </c>
      <c r="K460">
        <v>1</v>
      </c>
      <c r="L460" t="s">
        <v>27</v>
      </c>
      <c r="M460">
        <v>3</v>
      </c>
      <c r="N460">
        <v>7</v>
      </c>
      <c r="O460">
        <v>6</v>
      </c>
      <c r="P460">
        <v>1</v>
      </c>
      <c r="Q460" t="s">
        <v>27</v>
      </c>
    </row>
    <row r="461" spans="1:17" x14ac:dyDescent="0.3">
      <c r="A461" t="s">
        <v>506</v>
      </c>
      <c r="B461">
        <v>42</v>
      </c>
      <c r="C461" t="s">
        <v>18</v>
      </c>
      <c r="D461" t="s">
        <v>44</v>
      </c>
      <c r="E461" t="s">
        <v>45</v>
      </c>
      <c r="F461">
        <v>7559</v>
      </c>
      <c r="G461">
        <v>5</v>
      </c>
      <c r="H461" t="s">
        <v>37</v>
      </c>
      <c r="I461" t="s">
        <v>31</v>
      </c>
      <c r="J461">
        <v>2</v>
      </c>
      <c r="K461">
        <v>1</v>
      </c>
      <c r="L461" t="s">
        <v>27</v>
      </c>
      <c r="M461">
        <v>3</v>
      </c>
      <c r="N461">
        <v>4</v>
      </c>
      <c r="O461">
        <v>4</v>
      </c>
      <c r="P461">
        <v>1</v>
      </c>
      <c r="Q461" t="s">
        <v>27</v>
      </c>
    </row>
    <row r="462" spans="1:17" x14ac:dyDescent="0.3">
      <c r="A462" t="s">
        <v>507</v>
      </c>
      <c r="B462">
        <v>24</v>
      </c>
      <c r="C462" t="s">
        <v>18</v>
      </c>
      <c r="D462" t="s">
        <v>25</v>
      </c>
      <c r="E462" t="s">
        <v>61</v>
      </c>
      <c r="F462">
        <v>6077</v>
      </c>
      <c r="G462">
        <v>6</v>
      </c>
      <c r="H462" t="s">
        <v>37</v>
      </c>
      <c r="I462" t="s">
        <v>31</v>
      </c>
      <c r="J462">
        <v>3</v>
      </c>
      <c r="K462">
        <v>4</v>
      </c>
      <c r="L462" t="s">
        <v>23</v>
      </c>
      <c r="M462">
        <v>2</v>
      </c>
      <c r="N462">
        <v>6</v>
      </c>
      <c r="O462">
        <v>3</v>
      </c>
      <c r="P462">
        <v>2</v>
      </c>
      <c r="Q462" t="s">
        <v>27</v>
      </c>
    </row>
    <row r="463" spans="1:17" x14ac:dyDescent="0.3">
      <c r="A463" t="s">
        <v>508</v>
      </c>
      <c r="B463">
        <v>36</v>
      </c>
      <c r="C463" t="s">
        <v>18</v>
      </c>
      <c r="D463" t="s">
        <v>25</v>
      </c>
      <c r="E463" t="s">
        <v>26</v>
      </c>
      <c r="F463">
        <v>6355</v>
      </c>
      <c r="G463">
        <v>0</v>
      </c>
      <c r="H463" t="s">
        <v>21</v>
      </c>
      <c r="I463" t="s">
        <v>31</v>
      </c>
      <c r="J463">
        <v>4</v>
      </c>
      <c r="K463">
        <v>3</v>
      </c>
      <c r="L463" t="s">
        <v>27</v>
      </c>
      <c r="M463">
        <v>3</v>
      </c>
      <c r="N463">
        <v>23</v>
      </c>
      <c r="O463">
        <v>4</v>
      </c>
      <c r="P463">
        <v>3</v>
      </c>
      <c r="Q463" t="s">
        <v>23</v>
      </c>
    </row>
    <row r="464" spans="1:17" x14ac:dyDescent="0.3">
      <c r="A464" t="s">
        <v>509</v>
      </c>
      <c r="B464">
        <v>34</v>
      </c>
      <c r="C464" t="s">
        <v>35</v>
      </c>
      <c r="D464" t="s">
        <v>19</v>
      </c>
      <c r="E464" t="s">
        <v>40</v>
      </c>
      <c r="F464">
        <v>9886</v>
      </c>
      <c r="G464">
        <v>11</v>
      </c>
      <c r="H464" t="s">
        <v>21</v>
      </c>
      <c r="I464" t="s">
        <v>56</v>
      </c>
      <c r="J464">
        <v>3</v>
      </c>
      <c r="K464">
        <v>4</v>
      </c>
      <c r="L464" t="s">
        <v>27</v>
      </c>
      <c r="M464">
        <v>2</v>
      </c>
      <c r="N464">
        <v>4</v>
      </c>
      <c r="O464">
        <v>2</v>
      </c>
      <c r="P464">
        <v>3</v>
      </c>
      <c r="Q464" t="s">
        <v>27</v>
      </c>
    </row>
    <row r="465" spans="1:17" x14ac:dyDescent="0.3">
      <c r="A465" t="s">
        <v>510</v>
      </c>
      <c r="B465">
        <v>22</v>
      </c>
      <c r="C465" t="s">
        <v>18</v>
      </c>
      <c r="D465" t="s">
        <v>44</v>
      </c>
      <c r="E465" t="s">
        <v>45</v>
      </c>
      <c r="F465">
        <v>8008</v>
      </c>
      <c r="G465">
        <v>3</v>
      </c>
      <c r="H465" t="s">
        <v>33</v>
      </c>
      <c r="I465" t="s">
        <v>22</v>
      </c>
      <c r="J465">
        <v>4</v>
      </c>
      <c r="K465">
        <v>2</v>
      </c>
      <c r="L465" t="s">
        <v>23</v>
      </c>
      <c r="M465">
        <v>4</v>
      </c>
      <c r="N465">
        <v>27</v>
      </c>
      <c r="O465">
        <v>3</v>
      </c>
      <c r="P465">
        <v>1</v>
      </c>
      <c r="Q465" t="s">
        <v>27</v>
      </c>
    </row>
    <row r="466" spans="1:17" x14ac:dyDescent="0.3">
      <c r="A466" t="s">
        <v>511</v>
      </c>
      <c r="B466">
        <v>23</v>
      </c>
      <c r="C466" t="s">
        <v>35</v>
      </c>
      <c r="D466" t="s">
        <v>29</v>
      </c>
      <c r="E466" t="s">
        <v>30</v>
      </c>
      <c r="F466">
        <v>8816</v>
      </c>
      <c r="G466">
        <v>2</v>
      </c>
      <c r="H466" t="s">
        <v>37</v>
      </c>
      <c r="I466" t="s">
        <v>22</v>
      </c>
      <c r="J466">
        <v>3</v>
      </c>
      <c r="K466">
        <v>2</v>
      </c>
      <c r="L466" t="s">
        <v>23</v>
      </c>
      <c r="M466">
        <v>3</v>
      </c>
      <c r="N466">
        <v>19</v>
      </c>
      <c r="O466">
        <v>2</v>
      </c>
      <c r="P466">
        <v>1</v>
      </c>
      <c r="Q466" t="s">
        <v>27</v>
      </c>
    </row>
    <row r="467" spans="1:17" x14ac:dyDescent="0.3">
      <c r="A467" t="s">
        <v>512</v>
      </c>
      <c r="B467">
        <v>31</v>
      </c>
      <c r="C467" t="s">
        <v>35</v>
      </c>
      <c r="D467" t="s">
        <v>25</v>
      </c>
      <c r="E467" t="s">
        <v>26</v>
      </c>
      <c r="F467">
        <v>8252</v>
      </c>
      <c r="G467">
        <v>6</v>
      </c>
      <c r="H467" t="s">
        <v>21</v>
      </c>
      <c r="I467" t="s">
        <v>22</v>
      </c>
      <c r="J467">
        <v>2</v>
      </c>
      <c r="K467">
        <v>3</v>
      </c>
      <c r="L467" t="s">
        <v>27</v>
      </c>
      <c r="M467">
        <v>4</v>
      </c>
      <c r="N467">
        <v>18</v>
      </c>
      <c r="O467">
        <v>0</v>
      </c>
      <c r="P467">
        <v>3</v>
      </c>
      <c r="Q467" t="s">
        <v>27</v>
      </c>
    </row>
    <row r="468" spans="1:17" x14ac:dyDescent="0.3">
      <c r="A468" t="s">
        <v>513</v>
      </c>
      <c r="B468">
        <v>34</v>
      </c>
      <c r="C468" t="s">
        <v>35</v>
      </c>
      <c r="D468" t="s">
        <v>25</v>
      </c>
      <c r="E468" t="s">
        <v>61</v>
      </c>
      <c r="F468">
        <v>6187</v>
      </c>
      <c r="G468">
        <v>0</v>
      </c>
      <c r="H468" t="s">
        <v>37</v>
      </c>
      <c r="I468" t="s">
        <v>31</v>
      </c>
      <c r="J468">
        <v>4</v>
      </c>
      <c r="K468">
        <v>2</v>
      </c>
      <c r="L468" t="s">
        <v>27</v>
      </c>
      <c r="M468">
        <v>1</v>
      </c>
      <c r="N468">
        <v>2</v>
      </c>
      <c r="O468">
        <v>6</v>
      </c>
      <c r="P468">
        <v>4</v>
      </c>
      <c r="Q468" t="s">
        <v>27</v>
      </c>
    </row>
    <row r="469" spans="1:17" x14ac:dyDescent="0.3">
      <c r="A469" t="s">
        <v>514</v>
      </c>
      <c r="B469">
        <v>35</v>
      </c>
      <c r="C469" t="s">
        <v>35</v>
      </c>
      <c r="D469" t="s">
        <v>19</v>
      </c>
      <c r="E469" t="s">
        <v>40</v>
      </c>
      <c r="F469">
        <v>8805</v>
      </c>
      <c r="G469">
        <v>4</v>
      </c>
      <c r="H469" t="s">
        <v>46</v>
      </c>
      <c r="I469" t="s">
        <v>22</v>
      </c>
      <c r="J469">
        <v>1</v>
      </c>
      <c r="K469">
        <v>1</v>
      </c>
      <c r="L469" t="s">
        <v>23</v>
      </c>
      <c r="M469">
        <v>3</v>
      </c>
      <c r="N469">
        <v>25</v>
      </c>
      <c r="O469">
        <v>4</v>
      </c>
      <c r="P469">
        <v>1</v>
      </c>
      <c r="Q469" t="s">
        <v>23</v>
      </c>
    </row>
    <row r="470" spans="1:17" x14ac:dyDescent="0.3">
      <c r="A470" t="s">
        <v>515</v>
      </c>
      <c r="B470">
        <v>28</v>
      </c>
      <c r="C470" t="s">
        <v>35</v>
      </c>
      <c r="D470" t="s">
        <v>44</v>
      </c>
      <c r="E470" t="s">
        <v>45</v>
      </c>
      <c r="F470">
        <v>6411</v>
      </c>
      <c r="G470">
        <v>0</v>
      </c>
      <c r="H470" t="s">
        <v>37</v>
      </c>
      <c r="I470" t="s">
        <v>31</v>
      </c>
      <c r="J470">
        <v>3</v>
      </c>
      <c r="K470">
        <v>2</v>
      </c>
      <c r="L470" t="s">
        <v>27</v>
      </c>
      <c r="M470">
        <v>3</v>
      </c>
      <c r="N470">
        <v>26</v>
      </c>
      <c r="O470">
        <v>5</v>
      </c>
      <c r="P470">
        <v>3</v>
      </c>
      <c r="Q470" t="s">
        <v>27</v>
      </c>
    </row>
    <row r="471" spans="1:17" x14ac:dyDescent="0.3">
      <c r="A471" t="s">
        <v>516</v>
      </c>
      <c r="B471">
        <v>44</v>
      </c>
      <c r="C471" t="s">
        <v>35</v>
      </c>
      <c r="D471" t="s">
        <v>19</v>
      </c>
      <c r="E471" t="s">
        <v>40</v>
      </c>
      <c r="F471">
        <v>12427</v>
      </c>
      <c r="G471">
        <v>8</v>
      </c>
      <c r="H471" t="s">
        <v>37</v>
      </c>
      <c r="I471" t="s">
        <v>22</v>
      </c>
      <c r="J471">
        <v>4</v>
      </c>
      <c r="K471">
        <v>4</v>
      </c>
      <c r="L471" t="s">
        <v>23</v>
      </c>
      <c r="M471">
        <v>3</v>
      </c>
      <c r="N471">
        <v>11</v>
      </c>
      <c r="O471">
        <v>0</v>
      </c>
      <c r="P471">
        <v>2</v>
      </c>
      <c r="Q471" t="s">
        <v>27</v>
      </c>
    </row>
    <row r="472" spans="1:17" x14ac:dyDescent="0.3">
      <c r="A472" t="s">
        <v>517</v>
      </c>
      <c r="B472">
        <v>18</v>
      </c>
      <c r="C472" t="s">
        <v>35</v>
      </c>
      <c r="D472" t="s">
        <v>25</v>
      </c>
      <c r="E472" t="s">
        <v>61</v>
      </c>
      <c r="F472">
        <v>2967</v>
      </c>
      <c r="G472">
        <v>0</v>
      </c>
      <c r="H472" t="s">
        <v>37</v>
      </c>
      <c r="I472" t="s">
        <v>31</v>
      </c>
      <c r="J472">
        <v>2</v>
      </c>
      <c r="K472">
        <v>1</v>
      </c>
      <c r="L472" t="s">
        <v>27</v>
      </c>
      <c r="M472">
        <v>2</v>
      </c>
      <c r="N472">
        <v>25</v>
      </c>
      <c r="O472">
        <v>3</v>
      </c>
      <c r="P472">
        <v>1</v>
      </c>
      <c r="Q472" t="s">
        <v>27</v>
      </c>
    </row>
    <row r="473" spans="1:17" x14ac:dyDescent="0.3">
      <c r="A473" t="s">
        <v>518</v>
      </c>
      <c r="B473">
        <v>44</v>
      </c>
      <c r="C473" t="s">
        <v>35</v>
      </c>
      <c r="D473" t="s">
        <v>19</v>
      </c>
      <c r="E473" t="s">
        <v>40</v>
      </c>
      <c r="F473">
        <v>8776</v>
      </c>
      <c r="G473">
        <v>5</v>
      </c>
      <c r="H473" t="s">
        <v>21</v>
      </c>
      <c r="I473" t="s">
        <v>56</v>
      </c>
      <c r="J473">
        <v>1</v>
      </c>
      <c r="K473">
        <v>3</v>
      </c>
      <c r="L473" t="s">
        <v>27</v>
      </c>
      <c r="M473">
        <v>4</v>
      </c>
      <c r="N473">
        <v>27</v>
      </c>
      <c r="O473">
        <v>0</v>
      </c>
      <c r="P473">
        <v>1</v>
      </c>
      <c r="Q473" t="s">
        <v>27</v>
      </c>
    </row>
    <row r="474" spans="1:17" x14ac:dyDescent="0.3">
      <c r="A474" t="s">
        <v>519</v>
      </c>
      <c r="B474">
        <v>30</v>
      </c>
      <c r="C474" t="s">
        <v>18</v>
      </c>
      <c r="D474" t="s">
        <v>44</v>
      </c>
      <c r="E474" t="s">
        <v>54</v>
      </c>
      <c r="F474">
        <v>7003</v>
      </c>
      <c r="G474">
        <v>1</v>
      </c>
      <c r="H474" t="s">
        <v>46</v>
      </c>
      <c r="I474" t="s">
        <v>31</v>
      </c>
      <c r="J474">
        <v>3</v>
      </c>
      <c r="K474">
        <v>3</v>
      </c>
      <c r="L474" t="s">
        <v>27</v>
      </c>
      <c r="M474">
        <v>3</v>
      </c>
      <c r="N474">
        <v>13</v>
      </c>
      <c r="O474">
        <v>6</v>
      </c>
      <c r="P474">
        <v>1</v>
      </c>
      <c r="Q474" t="s">
        <v>27</v>
      </c>
    </row>
    <row r="475" spans="1:17" x14ac:dyDescent="0.3">
      <c r="A475" t="s">
        <v>520</v>
      </c>
      <c r="B475">
        <v>18</v>
      </c>
      <c r="C475" t="s">
        <v>18</v>
      </c>
      <c r="D475" t="s">
        <v>74</v>
      </c>
      <c r="E475" t="s">
        <v>99</v>
      </c>
      <c r="F475">
        <v>6460</v>
      </c>
      <c r="G475">
        <v>0</v>
      </c>
      <c r="H475" t="s">
        <v>21</v>
      </c>
      <c r="I475" t="s">
        <v>22</v>
      </c>
      <c r="J475">
        <v>2</v>
      </c>
      <c r="K475">
        <v>1</v>
      </c>
      <c r="L475" t="s">
        <v>27</v>
      </c>
      <c r="M475">
        <v>4</v>
      </c>
      <c r="N475">
        <v>29</v>
      </c>
      <c r="O475">
        <v>1</v>
      </c>
      <c r="P475">
        <v>4</v>
      </c>
      <c r="Q475" t="s">
        <v>27</v>
      </c>
    </row>
    <row r="476" spans="1:17" x14ac:dyDescent="0.3">
      <c r="A476" t="s">
        <v>521</v>
      </c>
      <c r="B476">
        <v>41</v>
      </c>
      <c r="C476" t="s">
        <v>18</v>
      </c>
      <c r="D476" t="s">
        <v>19</v>
      </c>
      <c r="E476" t="s">
        <v>40</v>
      </c>
      <c r="F476">
        <v>6698</v>
      </c>
      <c r="G476">
        <v>2</v>
      </c>
      <c r="H476" t="s">
        <v>33</v>
      </c>
      <c r="I476" t="s">
        <v>31</v>
      </c>
      <c r="J476">
        <v>1</v>
      </c>
      <c r="K476">
        <v>3</v>
      </c>
      <c r="L476" t="s">
        <v>27</v>
      </c>
      <c r="M476">
        <v>3</v>
      </c>
      <c r="N476">
        <v>25</v>
      </c>
      <c r="O476">
        <v>6</v>
      </c>
      <c r="P476">
        <v>2</v>
      </c>
      <c r="Q476" t="s">
        <v>27</v>
      </c>
    </row>
    <row r="477" spans="1:17" x14ac:dyDescent="0.3">
      <c r="A477" t="s">
        <v>522</v>
      </c>
      <c r="B477">
        <v>24</v>
      </c>
      <c r="C477" t="s">
        <v>35</v>
      </c>
      <c r="D477" t="s">
        <v>25</v>
      </c>
      <c r="E477" t="s">
        <v>26</v>
      </c>
      <c r="F477">
        <v>8804</v>
      </c>
      <c r="G477">
        <v>6</v>
      </c>
      <c r="H477" t="s">
        <v>37</v>
      </c>
      <c r="I477" t="s">
        <v>31</v>
      </c>
      <c r="J477">
        <v>4</v>
      </c>
      <c r="K477">
        <v>1</v>
      </c>
      <c r="L477" t="s">
        <v>23</v>
      </c>
      <c r="M477">
        <v>3</v>
      </c>
      <c r="N477">
        <v>22</v>
      </c>
      <c r="O477">
        <v>6</v>
      </c>
      <c r="P477">
        <v>3</v>
      </c>
      <c r="Q477" t="s">
        <v>27</v>
      </c>
    </row>
    <row r="478" spans="1:17" x14ac:dyDescent="0.3">
      <c r="A478" t="s">
        <v>523</v>
      </c>
      <c r="B478">
        <v>20</v>
      </c>
      <c r="C478" t="s">
        <v>35</v>
      </c>
      <c r="D478" t="s">
        <v>29</v>
      </c>
      <c r="E478" t="s">
        <v>30</v>
      </c>
      <c r="F478">
        <v>6898</v>
      </c>
      <c r="G478">
        <v>0</v>
      </c>
      <c r="H478" t="s">
        <v>46</v>
      </c>
      <c r="I478" t="s">
        <v>31</v>
      </c>
      <c r="J478">
        <v>3</v>
      </c>
      <c r="K478">
        <v>4</v>
      </c>
      <c r="L478" t="s">
        <v>23</v>
      </c>
      <c r="M478">
        <v>3</v>
      </c>
      <c r="N478">
        <v>18</v>
      </c>
      <c r="O478">
        <v>1</v>
      </c>
      <c r="P478">
        <v>3</v>
      </c>
      <c r="Q478" t="s">
        <v>27</v>
      </c>
    </row>
    <row r="479" spans="1:17" x14ac:dyDescent="0.3">
      <c r="A479" t="s">
        <v>524</v>
      </c>
      <c r="B479">
        <v>19</v>
      </c>
      <c r="C479" t="s">
        <v>18</v>
      </c>
      <c r="D479" t="s">
        <v>74</v>
      </c>
      <c r="E479" t="s">
        <v>20</v>
      </c>
      <c r="F479">
        <v>10179</v>
      </c>
      <c r="G479">
        <v>1</v>
      </c>
      <c r="H479" t="s">
        <v>21</v>
      </c>
      <c r="I479" t="s">
        <v>56</v>
      </c>
      <c r="J479">
        <v>3</v>
      </c>
      <c r="K479">
        <v>2</v>
      </c>
      <c r="L479" t="s">
        <v>27</v>
      </c>
      <c r="M479">
        <v>3</v>
      </c>
      <c r="N479">
        <v>6</v>
      </c>
      <c r="O479">
        <v>3</v>
      </c>
      <c r="P479">
        <v>2</v>
      </c>
      <c r="Q479" t="s">
        <v>27</v>
      </c>
    </row>
    <row r="480" spans="1:17" x14ac:dyDescent="0.3">
      <c r="A480" t="s">
        <v>525</v>
      </c>
      <c r="B480">
        <v>34</v>
      </c>
      <c r="C480" t="s">
        <v>35</v>
      </c>
      <c r="D480" t="s">
        <v>19</v>
      </c>
      <c r="E480" t="s">
        <v>36</v>
      </c>
      <c r="F480">
        <v>5290</v>
      </c>
      <c r="G480">
        <v>0</v>
      </c>
      <c r="H480" t="s">
        <v>21</v>
      </c>
      <c r="I480" t="s">
        <v>56</v>
      </c>
      <c r="J480">
        <v>3</v>
      </c>
      <c r="K480">
        <v>1</v>
      </c>
      <c r="L480" t="s">
        <v>27</v>
      </c>
      <c r="M480">
        <v>3</v>
      </c>
      <c r="N480">
        <v>10</v>
      </c>
      <c r="O480">
        <v>2</v>
      </c>
      <c r="P480">
        <v>2</v>
      </c>
      <c r="Q480" t="s">
        <v>27</v>
      </c>
    </row>
    <row r="481" spans="1:17" x14ac:dyDescent="0.3">
      <c r="A481" t="s">
        <v>526</v>
      </c>
      <c r="B481">
        <v>25</v>
      </c>
      <c r="C481" t="s">
        <v>35</v>
      </c>
      <c r="D481" t="s">
        <v>29</v>
      </c>
      <c r="E481" t="s">
        <v>49</v>
      </c>
      <c r="F481">
        <v>8445</v>
      </c>
      <c r="G481">
        <v>4</v>
      </c>
      <c r="H481" t="s">
        <v>37</v>
      </c>
      <c r="I481" t="s">
        <v>22</v>
      </c>
      <c r="J481">
        <v>2</v>
      </c>
      <c r="K481">
        <v>1</v>
      </c>
      <c r="L481" t="s">
        <v>27</v>
      </c>
      <c r="M481">
        <v>1</v>
      </c>
      <c r="N481">
        <v>6</v>
      </c>
      <c r="O481">
        <v>1</v>
      </c>
      <c r="P481">
        <v>4</v>
      </c>
      <c r="Q481" t="s">
        <v>27</v>
      </c>
    </row>
    <row r="482" spans="1:17" x14ac:dyDescent="0.3">
      <c r="A482" t="s">
        <v>527</v>
      </c>
      <c r="B482">
        <v>29</v>
      </c>
      <c r="C482" t="s">
        <v>35</v>
      </c>
      <c r="D482" t="s">
        <v>25</v>
      </c>
      <c r="E482" t="s">
        <v>61</v>
      </c>
      <c r="F482">
        <v>4912</v>
      </c>
      <c r="G482">
        <v>2</v>
      </c>
      <c r="H482" t="s">
        <v>33</v>
      </c>
      <c r="I482" t="s">
        <v>31</v>
      </c>
      <c r="J482">
        <v>4</v>
      </c>
      <c r="K482">
        <v>4</v>
      </c>
      <c r="L482" t="s">
        <v>27</v>
      </c>
      <c r="M482">
        <v>2</v>
      </c>
      <c r="N482">
        <v>10</v>
      </c>
      <c r="O482">
        <v>0</v>
      </c>
      <c r="P482">
        <v>1</v>
      </c>
      <c r="Q482" t="s">
        <v>27</v>
      </c>
    </row>
    <row r="483" spans="1:17" x14ac:dyDescent="0.3">
      <c r="A483" t="s">
        <v>528</v>
      </c>
      <c r="B483">
        <v>37</v>
      </c>
      <c r="C483" t="s">
        <v>35</v>
      </c>
      <c r="D483" t="s">
        <v>25</v>
      </c>
      <c r="E483" t="s">
        <v>61</v>
      </c>
      <c r="F483">
        <v>3820</v>
      </c>
      <c r="G483">
        <v>1</v>
      </c>
      <c r="H483" t="s">
        <v>21</v>
      </c>
      <c r="I483" t="s">
        <v>31</v>
      </c>
      <c r="J483">
        <v>3</v>
      </c>
      <c r="K483">
        <v>2</v>
      </c>
      <c r="L483" t="s">
        <v>27</v>
      </c>
      <c r="M483">
        <v>2</v>
      </c>
      <c r="N483">
        <v>1</v>
      </c>
      <c r="O483">
        <v>3</v>
      </c>
      <c r="P483">
        <v>2</v>
      </c>
      <c r="Q483" t="s">
        <v>27</v>
      </c>
    </row>
    <row r="484" spans="1:17" x14ac:dyDescent="0.3">
      <c r="A484" t="s">
        <v>529</v>
      </c>
      <c r="B484">
        <v>47</v>
      </c>
      <c r="C484" t="s">
        <v>35</v>
      </c>
      <c r="D484" t="s">
        <v>74</v>
      </c>
      <c r="E484" t="s">
        <v>75</v>
      </c>
      <c r="F484">
        <v>8776</v>
      </c>
      <c r="G484">
        <v>4</v>
      </c>
      <c r="H484" t="s">
        <v>46</v>
      </c>
      <c r="I484" t="s">
        <v>22</v>
      </c>
      <c r="J484">
        <v>1</v>
      </c>
      <c r="K484">
        <v>2</v>
      </c>
      <c r="L484" t="s">
        <v>27</v>
      </c>
      <c r="M484">
        <v>3</v>
      </c>
      <c r="N484">
        <v>5</v>
      </c>
      <c r="O484">
        <v>0</v>
      </c>
      <c r="P484">
        <v>1</v>
      </c>
      <c r="Q484" t="s">
        <v>23</v>
      </c>
    </row>
    <row r="485" spans="1:17" x14ac:dyDescent="0.3">
      <c r="A485" t="s">
        <v>530</v>
      </c>
      <c r="B485">
        <v>31</v>
      </c>
      <c r="C485" t="s">
        <v>18</v>
      </c>
      <c r="D485" t="s">
        <v>74</v>
      </c>
      <c r="E485" t="s">
        <v>75</v>
      </c>
      <c r="F485">
        <v>5599</v>
      </c>
      <c r="G485">
        <v>1</v>
      </c>
      <c r="H485" t="s">
        <v>33</v>
      </c>
      <c r="I485" t="s">
        <v>31</v>
      </c>
      <c r="J485">
        <v>1</v>
      </c>
      <c r="K485">
        <v>3</v>
      </c>
      <c r="L485" t="s">
        <v>27</v>
      </c>
      <c r="M485">
        <v>3</v>
      </c>
      <c r="N485">
        <v>11</v>
      </c>
      <c r="O485">
        <v>6</v>
      </c>
      <c r="P485">
        <v>2</v>
      </c>
      <c r="Q485" t="s">
        <v>27</v>
      </c>
    </row>
    <row r="486" spans="1:17" x14ac:dyDescent="0.3">
      <c r="A486" t="s">
        <v>531</v>
      </c>
      <c r="B486">
        <v>24</v>
      </c>
      <c r="C486" t="s">
        <v>18</v>
      </c>
      <c r="D486" t="s">
        <v>19</v>
      </c>
      <c r="E486" t="s">
        <v>40</v>
      </c>
      <c r="F486">
        <v>10570</v>
      </c>
      <c r="G486">
        <v>6</v>
      </c>
      <c r="H486" t="s">
        <v>37</v>
      </c>
      <c r="I486" t="s">
        <v>31</v>
      </c>
      <c r="J486">
        <v>3</v>
      </c>
      <c r="K486">
        <v>1</v>
      </c>
      <c r="L486" t="s">
        <v>27</v>
      </c>
      <c r="M486">
        <v>3</v>
      </c>
      <c r="N486">
        <v>1</v>
      </c>
      <c r="O486">
        <v>3</v>
      </c>
      <c r="P486">
        <v>3</v>
      </c>
      <c r="Q486" t="s">
        <v>27</v>
      </c>
    </row>
    <row r="487" spans="1:17" x14ac:dyDescent="0.3">
      <c r="A487" t="s">
        <v>532</v>
      </c>
      <c r="B487">
        <v>35</v>
      </c>
      <c r="C487" t="s">
        <v>35</v>
      </c>
      <c r="D487" t="s">
        <v>25</v>
      </c>
      <c r="E487" t="s">
        <v>26</v>
      </c>
      <c r="F487">
        <v>10017</v>
      </c>
      <c r="G487">
        <v>4</v>
      </c>
      <c r="H487" t="s">
        <v>37</v>
      </c>
      <c r="I487" t="s">
        <v>31</v>
      </c>
      <c r="J487">
        <v>2</v>
      </c>
      <c r="K487">
        <v>3</v>
      </c>
      <c r="L487" t="s">
        <v>27</v>
      </c>
      <c r="M487">
        <v>2</v>
      </c>
      <c r="N487">
        <v>6</v>
      </c>
      <c r="O487">
        <v>3</v>
      </c>
      <c r="P487">
        <v>1</v>
      </c>
      <c r="Q487" t="s">
        <v>27</v>
      </c>
    </row>
    <row r="488" spans="1:17" x14ac:dyDescent="0.3">
      <c r="A488" t="s">
        <v>533</v>
      </c>
      <c r="B488">
        <v>37</v>
      </c>
      <c r="C488" t="s">
        <v>18</v>
      </c>
      <c r="D488" t="s">
        <v>29</v>
      </c>
      <c r="E488" t="s">
        <v>49</v>
      </c>
      <c r="F488">
        <v>12675</v>
      </c>
      <c r="G488">
        <v>18</v>
      </c>
      <c r="H488" t="s">
        <v>21</v>
      </c>
      <c r="I488" t="s">
        <v>22</v>
      </c>
      <c r="J488">
        <v>2</v>
      </c>
      <c r="K488">
        <v>4</v>
      </c>
      <c r="L488" t="s">
        <v>23</v>
      </c>
      <c r="M488">
        <v>3</v>
      </c>
      <c r="N488">
        <v>8</v>
      </c>
      <c r="O488">
        <v>2</v>
      </c>
      <c r="P488">
        <v>1</v>
      </c>
      <c r="Q488" t="s">
        <v>27</v>
      </c>
    </row>
    <row r="489" spans="1:17" x14ac:dyDescent="0.3">
      <c r="A489" t="s">
        <v>534</v>
      </c>
      <c r="B489">
        <v>28</v>
      </c>
      <c r="C489" t="s">
        <v>35</v>
      </c>
      <c r="D489" t="s">
        <v>70</v>
      </c>
      <c r="E489" t="s">
        <v>71</v>
      </c>
      <c r="F489">
        <v>6875</v>
      </c>
      <c r="G489">
        <v>1</v>
      </c>
      <c r="H489" t="s">
        <v>37</v>
      </c>
      <c r="I489" t="s">
        <v>22</v>
      </c>
      <c r="J489">
        <v>3</v>
      </c>
      <c r="K489">
        <v>1</v>
      </c>
      <c r="L489" t="s">
        <v>27</v>
      </c>
      <c r="M489">
        <v>3</v>
      </c>
      <c r="N489">
        <v>15</v>
      </c>
      <c r="O489">
        <v>2</v>
      </c>
      <c r="P489">
        <v>3</v>
      </c>
      <c r="Q489" t="s">
        <v>27</v>
      </c>
    </row>
    <row r="490" spans="1:17" x14ac:dyDescent="0.3">
      <c r="A490" t="s">
        <v>535</v>
      </c>
      <c r="B490">
        <v>42</v>
      </c>
      <c r="C490" t="s">
        <v>18</v>
      </c>
      <c r="D490" t="s">
        <v>19</v>
      </c>
      <c r="E490" t="s">
        <v>20</v>
      </c>
      <c r="F490">
        <v>17187</v>
      </c>
      <c r="G490">
        <v>4</v>
      </c>
      <c r="H490" t="s">
        <v>33</v>
      </c>
      <c r="I490" t="s">
        <v>22</v>
      </c>
      <c r="J490">
        <v>4</v>
      </c>
      <c r="K490">
        <v>4</v>
      </c>
      <c r="L490" t="s">
        <v>27</v>
      </c>
      <c r="M490">
        <v>3</v>
      </c>
      <c r="N490">
        <v>10</v>
      </c>
      <c r="O490">
        <v>1</v>
      </c>
      <c r="P490">
        <v>3</v>
      </c>
      <c r="Q490" t="s">
        <v>27</v>
      </c>
    </row>
    <row r="491" spans="1:17" x14ac:dyDescent="0.3">
      <c r="A491" t="s">
        <v>536</v>
      </c>
      <c r="B491">
        <v>36</v>
      </c>
      <c r="C491" t="s">
        <v>35</v>
      </c>
      <c r="D491" t="s">
        <v>74</v>
      </c>
      <c r="E491" t="s">
        <v>99</v>
      </c>
      <c r="F491">
        <v>6037</v>
      </c>
      <c r="G491">
        <v>1</v>
      </c>
      <c r="H491" t="s">
        <v>37</v>
      </c>
      <c r="I491" t="s">
        <v>31</v>
      </c>
      <c r="J491">
        <v>1</v>
      </c>
      <c r="K491">
        <v>3</v>
      </c>
      <c r="L491" t="s">
        <v>27</v>
      </c>
      <c r="M491">
        <v>3</v>
      </c>
      <c r="N491">
        <v>16</v>
      </c>
      <c r="O491">
        <v>5</v>
      </c>
      <c r="P491">
        <v>1</v>
      </c>
      <c r="Q491" t="s">
        <v>27</v>
      </c>
    </row>
    <row r="492" spans="1:17" x14ac:dyDescent="0.3">
      <c r="A492" t="s">
        <v>537</v>
      </c>
      <c r="B492">
        <v>38</v>
      </c>
      <c r="C492" t="s">
        <v>35</v>
      </c>
      <c r="D492" t="s">
        <v>25</v>
      </c>
      <c r="E492" t="s">
        <v>61</v>
      </c>
      <c r="F492">
        <v>12502</v>
      </c>
      <c r="G492">
        <v>6</v>
      </c>
      <c r="H492" t="s">
        <v>21</v>
      </c>
      <c r="I492" t="s">
        <v>31</v>
      </c>
      <c r="J492">
        <v>3</v>
      </c>
      <c r="K492">
        <v>4</v>
      </c>
      <c r="L492" t="s">
        <v>23</v>
      </c>
      <c r="M492">
        <v>3</v>
      </c>
      <c r="N492">
        <v>18</v>
      </c>
      <c r="O492">
        <v>0</v>
      </c>
      <c r="P492">
        <v>2</v>
      </c>
      <c r="Q492" t="s">
        <v>23</v>
      </c>
    </row>
    <row r="493" spans="1:17" x14ac:dyDescent="0.3">
      <c r="A493" t="s">
        <v>538</v>
      </c>
      <c r="B493">
        <v>40</v>
      </c>
      <c r="C493" t="s">
        <v>35</v>
      </c>
      <c r="D493" t="s">
        <v>25</v>
      </c>
      <c r="E493" t="s">
        <v>26</v>
      </c>
      <c r="F493">
        <v>9027</v>
      </c>
      <c r="G493">
        <v>3</v>
      </c>
      <c r="H493" t="s">
        <v>21</v>
      </c>
      <c r="I493" t="s">
        <v>22</v>
      </c>
      <c r="J493">
        <v>3</v>
      </c>
      <c r="K493">
        <v>4</v>
      </c>
      <c r="L493" t="s">
        <v>23</v>
      </c>
      <c r="M493">
        <v>3</v>
      </c>
      <c r="N493">
        <v>20</v>
      </c>
      <c r="O493">
        <v>3</v>
      </c>
      <c r="P493">
        <v>2</v>
      </c>
      <c r="Q493" t="s">
        <v>27</v>
      </c>
    </row>
    <row r="494" spans="1:17" x14ac:dyDescent="0.3">
      <c r="A494" t="s">
        <v>539</v>
      </c>
      <c r="B494">
        <v>29</v>
      </c>
      <c r="C494" t="s">
        <v>35</v>
      </c>
      <c r="D494" t="s">
        <v>74</v>
      </c>
      <c r="E494" t="s">
        <v>75</v>
      </c>
      <c r="F494">
        <v>6184</v>
      </c>
      <c r="G494">
        <v>2</v>
      </c>
      <c r="H494" t="s">
        <v>37</v>
      </c>
      <c r="I494" t="s">
        <v>31</v>
      </c>
      <c r="J494">
        <v>2</v>
      </c>
      <c r="K494">
        <v>3</v>
      </c>
      <c r="L494" t="s">
        <v>27</v>
      </c>
      <c r="M494">
        <v>2</v>
      </c>
      <c r="N494">
        <v>11</v>
      </c>
      <c r="O494">
        <v>0</v>
      </c>
      <c r="P494">
        <v>2</v>
      </c>
      <c r="Q494" t="s">
        <v>27</v>
      </c>
    </row>
    <row r="495" spans="1:17" x14ac:dyDescent="0.3">
      <c r="A495" t="s">
        <v>540</v>
      </c>
      <c r="B495">
        <v>43</v>
      </c>
      <c r="C495" t="s">
        <v>35</v>
      </c>
      <c r="D495" t="s">
        <v>44</v>
      </c>
      <c r="E495" t="s">
        <v>54</v>
      </c>
      <c r="F495">
        <v>5026</v>
      </c>
      <c r="G495">
        <v>0</v>
      </c>
      <c r="H495" t="s">
        <v>21</v>
      </c>
      <c r="I495" t="s">
        <v>31</v>
      </c>
      <c r="J495">
        <v>2</v>
      </c>
      <c r="K495">
        <v>2</v>
      </c>
      <c r="L495" t="s">
        <v>27</v>
      </c>
      <c r="M495">
        <v>3</v>
      </c>
      <c r="N495">
        <v>5</v>
      </c>
      <c r="O495">
        <v>2</v>
      </c>
      <c r="P495">
        <v>4</v>
      </c>
      <c r="Q495" t="s">
        <v>27</v>
      </c>
    </row>
    <row r="496" spans="1:17" x14ac:dyDescent="0.3">
      <c r="A496" t="s">
        <v>541</v>
      </c>
      <c r="B496">
        <v>50</v>
      </c>
      <c r="C496" t="s">
        <v>35</v>
      </c>
      <c r="D496" t="s">
        <v>19</v>
      </c>
      <c r="E496" t="s">
        <v>36</v>
      </c>
      <c r="F496">
        <v>7625</v>
      </c>
      <c r="G496">
        <v>1</v>
      </c>
      <c r="H496" t="s">
        <v>37</v>
      </c>
      <c r="I496" t="s">
        <v>22</v>
      </c>
      <c r="J496">
        <v>3</v>
      </c>
      <c r="K496">
        <v>3</v>
      </c>
      <c r="L496" t="s">
        <v>27</v>
      </c>
      <c r="M496">
        <v>3</v>
      </c>
      <c r="N496">
        <v>26</v>
      </c>
      <c r="O496">
        <v>5</v>
      </c>
      <c r="P496">
        <v>3</v>
      </c>
      <c r="Q496" t="s">
        <v>27</v>
      </c>
    </row>
    <row r="497" spans="1:17" x14ac:dyDescent="0.3">
      <c r="A497" t="s">
        <v>542</v>
      </c>
      <c r="B497">
        <v>42</v>
      </c>
      <c r="C497" t="s">
        <v>18</v>
      </c>
      <c r="D497" t="s">
        <v>74</v>
      </c>
      <c r="E497" t="s">
        <v>75</v>
      </c>
      <c r="F497">
        <v>9379</v>
      </c>
      <c r="G497">
        <v>4</v>
      </c>
      <c r="H497" t="s">
        <v>21</v>
      </c>
      <c r="I497" t="s">
        <v>22</v>
      </c>
      <c r="J497">
        <v>4</v>
      </c>
      <c r="K497">
        <v>2</v>
      </c>
      <c r="L497" t="s">
        <v>27</v>
      </c>
      <c r="M497">
        <v>3</v>
      </c>
      <c r="N497">
        <v>26</v>
      </c>
      <c r="O497">
        <v>1</v>
      </c>
      <c r="P497">
        <v>2</v>
      </c>
      <c r="Q497" t="s">
        <v>27</v>
      </c>
    </row>
    <row r="498" spans="1:17" x14ac:dyDescent="0.3">
      <c r="A498" t="s">
        <v>543</v>
      </c>
      <c r="B498">
        <v>50</v>
      </c>
      <c r="C498" t="s">
        <v>18</v>
      </c>
      <c r="D498" t="s">
        <v>19</v>
      </c>
      <c r="E498" t="s">
        <v>40</v>
      </c>
      <c r="F498">
        <v>12462</v>
      </c>
      <c r="G498">
        <v>11</v>
      </c>
      <c r="H498" t="s">
        <v>46</v>
      </c>
      <c r="I498" t="s">
        <v>31</v>
      </c>
      <c r="J498">
        <v>4</v>
      </c>
      <c r="K498">
        <v>1</v>
      </c>
      <c r="L498" t="s">
        <v>23</v>
      </c>
      <c r="M498">
        <v>3</v>
      </c>
      <c r="N498">
        <v>12</v>
      </c>
      <c r="O498">
        <v>1</v>
      </c>
      <c r="P498">
        <v>3</v>
      </c>
      <c r="Q498" t="s">
        <v>23</v>
      </c>
    </row>
    <row r="499" spans="1:17" x14ac:dyDescent="0.3">
      <c r="A499" t="s">
        <v>544</v>
      </c>
      <c r="B499">
        <v>31</v>
      </c>
      <c r="C499" t="s">
        <v>18</v>
      </c>
      <c r="D499" t="s">
        <v>25</v>
      </c>
      <c r="E499" t="s">
        <v>26</v>
      </c>
      <c r="F499">
        <v>10520</v>
      </c>
      <c r="G499">
        <v>4</v>
      </c>
      <c r="H499" t="s">
        <v>37</v>
      </c>
      <c r="I499" t="s">
        <v>56</v>
      </c>
      <c r="J499">
        <v>2</v>
      </c>
      <c r="K499">
        <v>2</v>
      </c>
      <c r="L499" t="s">
        <v>27</v>
      </c>
      <c r="M499">
        <v>2</v>
      </c>
      <c r="N499">
        <v>1</v>
      </c>
      <c r="O499">
        <v>1</v>
      </c>
      <c r="P499">
        <v>2</v>
      </c>
      <c r="Q499" t="s">
        <v>27</v>
      </c>
    </row>
    <row r="500" spans="1:17" x14ac:dyDescent="0.3">
      <c r="A500" t="s">
        <v>545</v>
      </c>
      <c r="B500">
        <v>39</v>
      </c>
      <c r="C500" t="s">
        <v>35</v>
      </c>
      <c r="D500" t="s">
        <v>19</v>
      </c>
      <c r="E500" t="s">
        <v>40</v>
      </c>
      <c r="F500">
        <v>6667</v>
      </c>
      <c r="G500">
        <v>0</v>
      </c>
      <c r="H500" t="s">
        <v>37</v>
      </c>
      <c r="I500" t="s">
        <v>56</v>
      </c>
      <c r="J500">
        <v>3</v>
      </c>
      <c r="K500">
        <v>4</v>
      </c>
      <c r="L500" t="s">
        <v>27</v>
      </c>
      <c r="M500">
        <v>2</v>
      </c>
      <c r="N500">
        <v>19</v>
      </c>
      <c r="O500">
        <v>0</v>
      </c>
      <c r="P500">
        <v>4</v>
      </c>
      <c r="Q500" t="s">
        <v>27</v>
      </c>
    </row>
    <row r="501" spans="1:17" x14ac:dyDescent="0.3">
      <c r="A501" t="s">
        <v>546</v>
      </c>
      <c r="B501">
        <v>37</v>
      </c>
      <c r="C501" t="s">
        <v>35</v>
      </c>
      <c r="D501" t="s">
        <v>70</v>
      </c>
      <c r="E501" t="s">
        <v>71</v>
      </c>
      <c r="F501">
        <v>3805</v>
      </c>
      <c r="G501">
        <v>1</v>
      </c>
      <c r="H501" t="s">
        <v>37</v>
      </c>
      <c r="I501" t="s">
        <v>22</v>
      </c>
      <c r="J501">
        <v>3</v>
      </c>
      <c r="K501">
        <v>4</v>
      </c>
      <c r="L501" t="s">
        <v>23</v>
      </c>
      <c r="M501">
        <v>3</v>
      </c>
      <c r="N501">
        <v>9</v>
      </c>
      <c r="O501">
        <v>5</v>
      </c>
      <c r="P501">
        <v>3</v>
      </c>
      <c r="Q501" t="s">
        <v>27</v>
      </c>
    </row>
    <row r="502" spans="1:17" x14ac:dyDescent="0.3">
      <c r="A502" t="s">
        <v>547</v>
      </c>
      <c r="B502">
        <v>41</v>
      </c>
      <c r="C502" t="s">
        <v>18</v>
      </c>
      <c r="D502" t="s">
        <v>25</v>
      </c>
      <c r="E502" t="s">
        <v>26</v>
      </c>
      <c r="F502">
        <v>10246</v>
      </c>
      <c r="G502">
        <v>11</v>
      </c>
      <c r="H502" t="s">
        <v>21</v>
      </c>
      <c r="I502" t="s">
        <v>22</v>
      </c>
      <c r="J502">
        <v>2</v>
      </c>
      <c r="K502">
        <v>4</v>
      </c>
      <c r="L502" t="s">
        <v>23</v>
      </c>
      <c r="M502">
        <v>4</v>
      </c>
      <c r="N502">
        <v>26</v>
      </c>
      <c r="O502">
        <v>3</v>
      </c>
      <c r="P502">
        <v>4</v>
      </c>
      <c r="Q502" t="s">
        <v>27</v>
      </c>
    </row>
    <row r="503" spans="1:17" x14ac:dyDescent="0.3">
      <c r="A503" t="s">
        <v>548</v>
      </c>
      <c r="B503">
        <v>31</v>
      </c>
      <c r="C503" t="s">
        <v>18</v>
      </c>
      <c r="D503" t="s">
        <v>19</v>
      </c>
      <c r="E503" t="s">
        <v>40</v>
      </c>
      <c r="F503">
        <v>15364</v>
      </c>
      <c r="G503">
        <v>13</v>
      </c>
      <c r="H503" t="s">
        <v>21</v>
      </c>
      <c r="I503" t="s">
        <v>56</v>
      </c>
      <c r="J503">
        <v>2</v>
      </c>
      <c r="K503">
        <v>3</v>
      </c>
      <c r="L503" t="s">
        <v>27</v>
      </c>
      <c r="M503">
        <v>3</v>
      </c>
      <c r="N503">
        <v>1</v>
      </c>
      <c r="O503">
        <v>6</v>
      </c>
      <c r="P503">
        <v>4</v>
      </c>
      <c r="Q503" t="s">
        <v>27</v>
      </c>
    </row>
    <row r="504" spans="1:17" x14ac:dyDescent="0.3">
      <c r="A504" t="s">
        <v>549</v>
      </c>
      <c r="B504">
        <v>44</v>
      </c>
      <c r="C504" t="s">
        <v>35</v>
      </c>
      <c r="D504" t="s">
        <v>74</v>
      </c>
      <c r="E504" t="s">
        <v>20</v>
      </c>
      <c r="F504">
        <v>11805</v>
      </c>
      <c r="G504">
        <v>1</v>
      </c>
      <c r="H504" t="s">
        <v>46</v>
      </c>
      <c r="I504" t="s">
        <v>31</v>
      </c>
      <c r="J504">
        <v>1</v>
      </c>
      <c r="K504">
        <v>1</v>
      </c>
      <c r="L504" t="s">
        <v>27</v>
      </c>
      <c r="M504">
        <v>3</v>
      </c>
      <c r="N504">
        <v>17</v>
      </c>
      <c r="O504">
        <v>3</v>
      </c>
      <c r="P504">
        <v>3</v>
      </c>
      <c r="Q504" t="s">
        <v>27</v>
      </c>
    </row>
    <row r="505" spans="1:17" x14ac:dyDescent="0.3">
      <c r="A505" t="s">
        <v>550</v>
      </c>
      <c r="B505">
        <v>32</v>
      </c>
      <c r="C505" t="s">
        <v>18</v>
      </c>
      <c r="D505" t="s">
        <v>25</v>
      </c>
      <c r="E505" t="s">
        <v>26</v>
      </c>
      <c r="F505">
        <v>4704</v>
      </c>
      <c r="G505">
        <v>2</v>
      </c>
      <c r="H505" t="s">
        <v>46</v>
      </c>
      <c r="I505" t="s">
        <v>22</v>
      </c>
      <c r="J505">
        <v>3</v>
      </c>
      <c r="K505">
        <v>1</v>
      </c>
      <c r="L505" t="s">
        <v>27</v>
      </c>
      <c r="M505">
        <v>3</v>
      </c>
      <c r="N505">
        <v>21</v>
      </c>
      <c r="O505">
        <v>4</v>
      </c>
      <c r="P505">
        <v>3</v>
      </c>
      <c r="Q505" t="s">
        <v>27</v>
      </c>
    </row>
    <row r="506" spans="1:17" x14ac:dyDescent="0.3">
      <c r="A506" t="s">
        <v>551</v>
      </c>
      <c r="B506">
        <v>31</v>
      </c>
      <c r="C506" t="s">
        <v>18</v>
      </c>
      <c r="D506" t="s">
        <v>74</v>
      </c>
      <c r="E506" t="s">
        <v>75</v>
      </c>
      <c r="F506">
        <v>11441</v>
      </c>
      <c r="G506">
        <v>13</v>
      </c>
      <c r="H506" t="s">
        <v>37</v>
      </c>
      <c r="I506" t="s">
        <v>31</v>
      </c>
      <c r="J506">
        <v>1</v>
      </c>
      <c r="K506">
        <v>3</v>
      </c>
      <c r="L506" t="s">
        <v>27</v>
      </c>
      <c r="M506">
        <v>3</v>
      </c>
      <c r="N506">
        <v>10</v>
      </c>
      <c r="O506">
        <v>1</v>
      </c>
      <c r="P506">
        <v>3</v>
      </c>
      <c r="Q506" t="s">
        <v>27</v>
      </c>
    </row>
    <row r="507" spans="1:17" x14ac:dyDescent="0.3">
      <c r="A507" t="s">
        <v>552</v>
      </c>
      <c r="B507">
        <v>26</v>
      </c>
      <c r="C507" t="s">
        <v>18</v>
      </c>
      <c r="D507" t="s">
        <v>25</v>
      </c>
      <c r="E507" t="s">
        <v>26</v>
      </c>
      <c r="F507">
        <v>13132</v>
      </c>
      <c r="G507">
        <v>8</v>
      </c>
      <c r="H507" t="s">
        <v>21</v>
      </c>
      <c r="I507" t="s">
        <v>22</v>
      </c>
      <c r="J507">
        <v>1</v>
      </c>
      <c r="K507">
        <v>3</v>
      </c>
      <c r="L507" t="s">
        <v>27</v>
      </c>
      <c r="M507">
        <v>4</v>
      </c>
      <c r="N507">
        <v>14</v>
      </c>
      <c r="O507">
        <v>4</v>
      </c>
      <c r="P507">
        <v>2</v>
      </c>
      <c r="Q507" t="s">
        <v>27</v>
      </c>
    </row>
    <row r="508" spans="1:17" x14ac:dyDescent="0.3">
      <c r="A508" t="s">
        <v>553</v>
      </c>
      <c r="B508">
        <v>31</v>
      </c>
      <c r="C508" t="s">
        <v>35</v>
      </c>
      <c r="D508" t="s">
        <v>44</v>
      </c>
      <c r="E508" t="s">
        <v>20</v>
      </c>
      <c r="F508">
        <v>9560</v>
      </c>
      <c r="G508">
        <v>2</v>
      </c>
      <c r="H508" t="s">
        <v>46</v>
      </c>
      <c r="I508" t="s">
        <v>22</v>
      </c>
      <c r="J508">
        <v>1</v>
      </c>
      <c r="K508">
        <v>2</v>
      </c>
      <c r="L508" t="s">
        <v>23</v>
      </c>
      <c r="M508">
        <v>2</v>
      </c>
      <c r="N508">
        <v>16</v>
      </c>
      <c r="O508">
        <v>6</v>
      </c>
      <c r="P508">
        <v>1</v>
      </c>
      <c r="Q508" t="s">
        <v>27</v>
      </c>
    </row>
    <row r="509" spans="1:17" x14ac:dyDescent="0.3">
      <c r="A509" t="s">
        <v>554</v>
      </c>
      <c r="B509">
        <v>35</v>
      </c>
      <c r="C509" t="s">
        <v>35</v>
      </c>
      <c r="D509" t="s">
        <v>70</v>
      </c>
      <c r="E509" t="s">
        <v>71</v>
      </c>
      <c r="F509">
        <v>7819</v>
      </c>
      <c r="G509">
        <v>0</v>
      </c>
      <c r="H509" t="s">
        <v>37</v>
      </c>
      <c r="I509" t="s">
        <v>31</v>
      </c>
      <c r="J509">
        <v>2</v>
      </c>
      <c r="K509">
        <v>1</v>
      </c>
      <c r="L509" t="s">
        <v>27</v>
      </c>
      <c r="M509">
        <v>2</v>
      </c>
      <c r="N509">
        <v>9</v>
      </c>
      <c r="O509">
        <v>3</v>
      </c>
      <c r="P509">
        <v>3</v>
      </c>
      <c r="Q509" t="s">
        <v>27</v>
      </c>
    </row>
    <row r="510" spans="1:17" x14ac:dyDescent="0.3">
      <c r="A510" t="s">
        <v>555</v>
      </c>
      <c r="B510">
        <v>35</v>
      </c>
      <c r="C510" t="s">
        <v>35</v>
      </c>
      <c r="D510" t="s">
        <v>44</v>
      </c>
      <c r="E510" t="s">
        <v>45</v>
      </c>
      <c r="F510">
        <v>6098</v>
      </c>
      <c r="G510">
        <v>2</v>
      </c>
      <c r="H510" t="s">
        <v>37</v>
      </c>
      <c r="I510" t="s">
        <v>22</v>
      </c>
      <c r="J510">
        <v>4</v>
      </c>
      <c r="K510">
        <v>3</v>
      </c>
      <c r="L510" t="s">
        <v>27</v>
      </c>
      <c r="M510">
        <v>2</v>
      </c>
      <c r="N510">
        <v>22</v>
      </c>
      <c r="O510">
        <v>1</v>
      </c>
      <c r="P510">
        <v>4</v>
      </c>
      <c r="Q510" t="s">
        <v>23</v>
      </c>
    </row>
    <row r="511" spans="1:17" x14ac:dyDescent="0.3">
      <c r="A511" t="s">
        <v>556</v>
      </c>
      <c r="B511">
        <v>26</v>
      </c>
      <c r="C511" t="s">
        <v>35</v>
      </c>
      <c r="D511" t="s">
        <v>19</v>
      </c>
      <c r="E511" t="s">
        <v>20</v>
      </c>
      <c r="F511">
        <v>11636</v>
      </c>
      <c r="G511">
        <v>3</v>
      </c>
      <c r="H511" t="s">
        <v>21</v>
      </c>
      <c r="I511" t="s">
        <v>22</v>
      </c>
      <c r="J511">
        <v>1</v>
      </c>
      <c r="K511">
        <v>1</v>
      </c>
      <c r="L511" t="s">
        <v>27</v>
      </c>
      <c r="M511">
        <v>4</v>
      </c>
      <c r="N511">
        <v>15</v>
      </c>
      <c r="O511">
        <v>5</v>
      </c>
      <c r="P511">
        <v>2</v>
      </c>
      <c r="Q511" t="s">
        <v>27</v>
      </c>
    </row>
    <row r="512" spans="1:17" x14ac:dyDescent="0.3">
      <c r="A512" t="s">
        <v>557</v>
      </c>
      <c r="B512">
        <v>28</v>
      </c>
      <c r="C512" t="s">
        <v>35</v>
      </c>
      <c r="D512" t="s">
        <v>19</v>
      </c>
      <c r="E512" t="s">
        <v>40</v>
      </c>
      <c r="F512">
        <v>5389</v>
      </c>
      <c r="G512">
        <v>0</v>
      </c>
      <c r="H512" t="s">
        <v>37</v>
      </c>
      <c r="I512" t="s">
        <v>31</v>
      </c>
      <c r="J512">
        <v>3</v>
      </c>
      <c r="K512">
        <v>3</v>
      </c>
      <c r="L512" t="s">
        <v>23</v>
      </c>
      <c r="M512">
        <v>1</v>
      </c>
      <c r="N512">
        <v>17</v>
      </c>
      <c r="O512">
        <v>3</v>
      </c>
      <c r="P512">
        <v>1</v>
      </c>
      <c r="Q512" t="s">
        <v>27</v>
      </c>
    </row>
    <row r="513" spans="1:17" x14ac:dyDescent="0.3">
      <c r="A513" t="s">
        <v>558</v>
      </c>
      <c r="B513">
        <v>28</v>
      </c>
      <c r="C513" t="s">
        <v>35</v>
      </c>
      <c r="D513" t="s">
        <v>44</v>
      </c>
      <c r="E513" t="s">
        <v>45</v>
      </c>
      <c r="F513">
        <v>4782</v>
      </c>
      <c r="G513">
        <v>0</v>
      </c>
      <c r="H513" t="s">
        <v>37</v>
      </c>
      <c r="I513" t="s">
        <v>31</v>
      </c>
      <c r="J513">
        <v>4</v>
      </c>
      <c r="K513">
        <v>4</v>
      </c>
      <c r="L513" t="s">
        <v>27</v>
      </c>
      <c r="M513">
        <v>3</v>
      </c>
      <c r="N513">
        <v>15</v>
      </c>
      <c r="O513">
        <v>5</v>
      </c>
      <c r="P513">
        <v>4</v>
      </c>
      <c r="Q513" t="s">
        <v>27</v>
      </c>
    </row>
    <row r="514" spans="1:17" x14ac:dyDescent="0.3">
      <c r="A514" t="s">
        <v>559</v>
      </c>
      <c r="B514">
        <v>47</v>
      </c>
      <c r="C514" t="s">
        <v>35</v>
      </c>
      <c r="D514" t="s">
        <v>70</v>
      </c>
      <c r="E514" t="s">
        <v>71</v>
      </c>
      <c r="F514">
        <v>6755</v>
      </c>
      <c r="G514">
        <v>5</v>
      </c>
      <c r="H514" t="s">
        <v>37</v>
      </c>
      <c r="I514" t="s">
        <v>22</v>
      </c>
      <c r="J514">
        <v>4</v>
      </c>
      <c r="K514">
        <v>2</v>
      </c>
      <c r="L514" t="s">
        <v>27</v>
      </c>
      <c r="M514">
        <v>2</v>
      </c>
      <c r="N514">
        <v>28</v>
      </c>
      <c r="O514">
        <v>1</v>
      </c>
      <c r="P514">
        <v>3</v>
      </c>
      <c r="Q514" t="s">
        <v>23</v>
      </c>
    </row>
    <row r="515" spans="1:17" x14ac:dyDescent="0.3">
      <c r="A515" t="s">
        <v>560</v>
      </c>
      <c r="B515">
        <v>41</v>
      </c>
      <c r="C515" t="s">
        <v>35</v>
      </c>
      <c r="D515" t="s">
        <v>74</v>
      </c>
      <c r="E515" t="s">
        <v>75</v>
      </c>
      <c r="F515">
        <v>9950</v>
      </c>
      <c r="G515">
        <v>10</v>
      </c>
      <c r="H515" t="s">
        <v>33</v>
      </c>
      <c r="I515" t="s">
        <v>31</v>
      </c>
      <c r="J515">
        <v>1</v>
      </c>
      <c r="K515">
        <v>4</v>
      </c>
      <c r="L515" t="s">
        <v>23</v>
      </c>
      <c r="M515">
        <v>3</v>
      </c>
      <c r="N515">
        <v>17</v>
      </c>
      <c r="O515">
        <v>5</v>
      </c>
      <c r="P515">
        <v>2</v>
      </c>
      <c r="Q515" t="s">
        <v>27</v>
      </c>
    </row>
    <row r="516" spans="1:17" x14ac:dyDescent="0.3">
      <c r="A516" t="s">
        <v>561</v>
      </c>
      <c r="B516">
        <v>33</v>
      </c>
      <c r="C516" t="s">
        <v>35</v>
      </c>
      <c r="D516" t="s">
        <v>19</v>
      </c>
      <c r="E516" t="s">
        <v>20</v>
      </c>
      <c r="F516">
        <v>13882</v>
      </c>
      <c r="G516">
        <v>10</v>
      </c>
      <c r="H516" t="s">
        <v>33</v>
      </c>
      <c r="I516" t="s">
        <v>56</v>
      </c>
      <c r="J516">
        <v>2</v>
      </c>
      <c r="K516">
        <v>4</v>
      </c>
      <c r="L516" t="s">
        <v>27</v>
      </c>
      <c r="M516">
        <v>3</v>
      </c>
      <c r="N516">
        <v>30</v>
      </c>
      <c r="O516">
        <v>2</v>
      </c>
      <c r="P516">
        <v>1</v>
      </c>
      <c r="Q516" t="s">
        <v>27</v>
      </c>
    </row>
    <row r="517" spans="1:17" x14ac:dyDescent="0.3">
      <c r="A517" t="s">
        <v>562</v>
      </c>
      <c r="B517">
        <v>38</v>
      </c>
      <c r="C517" t="s">
        <v>18</v>
      </c>
      <c r="D517" t="s">
        <v>44</v>
      </c>
      <c r="E517" t="s">
        <v>45</v>
      </c>
      <c r="F517">
        <v>11072</v>
      </c>
      <c r="G517">
        <v>9</v>
      </c>
      <c r="H517" t="s">
        <v>37</v>
      </c>
      <c r="I517" t="s">
        <v>31</v>
      </c>
      <c r="J517">
        <v>3</v>
      </c>
      <c r="K517">
        <v>3</v>
      </c>
      <c r="L517" t="s">
        <v>23</v>
      </c>
      <c r="M517">
        <v>2</v>
      </c>
      <c r="N517">
        <v>6</v>
      </c>
      <c r="O517">
        <v>5</v>
      </c>
      <c r="P517">
        <v>4</v>
      </c>
      <c r="Q517" t="s">
        <v>27</v>
      </c>
    </row>
    <row r="518" spans="1:17" x14ac:dyDescent="0.3">
      <c r="A518" t="s">
        <v>563</v>
      </c>
      <c r="B518">
        <v>39</v>
      </c>
      <c r="C518" t="s">
        <v>35</v>
      </c>
      <c r="D518" t="s">
        <v>74</v>
      </c>
      <c r="E518" t="s">
        <v>99</v>
      </c>
      <c r="F518">
        <v>10661</v>
      </c>
      <c r="G518">
        <v>9</v>
      </c>
      <c r="H518" t="s">
        <v>37</v>
      </c>
      <c r="I518" t="s">
        <v>22</v>
      </c>
      <c r="J518">
        <v>2</v>
      </c>
      <c r="K518">
        <v>1</v>
      </c>
      <c r="L518" t="s">
        <v>27</v>
      </c>
      <c r="M518">
        <v>3</v>
      </c>
      <c r="N518">
        <v>25</v>
      </c>
      <c r="O518">
        <v>5</v>
      </c>
      <c r="P518">
        <v>4</v>
      </c>
      <c r="Q518" t="s">
        <v>27</v>
      </c>
    </row>
    <row r="519" spans="1:17" x14ac:dyDescent="0.3">
      <c r="A519" t="s">
        <v>564</v>
      </c>
      <c r="B519">
        <v>48</v>
      </c>
      <c r="C519" t="s">
        <v>35</v>
      </c>
      <c r="D519" t="s">
        <v>25</v>
      </c>
      <c r="E519" t="s">
        <v>20</v>
      </c>
      <c r="F519">
        <v>17946</v>
      </c>
      <c r="G519">
        <v>12</v>
      </c>
      <c r="H519" t="s">
        <v>37</v>
      </c>
      <c r="I519" t="s">
        <v>22</v>
      </c>
      <c r="J519">
        <v>1</v>
      </c>
      <c r="K519">
        <v>3</v>
      </c>
      <c r="L519" t="s">
        <v>27</v>
      </c>
      <c r="M519">
        <v>1</v>
      </c>
      <c r="N519">
        <v>27</v>
      </c>
      <c r="O519">
        <v>2</v>
      </c>
      <c r="P519">
        <v>1</v>
      </c>
      <c r="Q519" t="s">
        <v>27</v>
      </c>
    </row>
    <row r="520" spans="1:17" x14ac:dyDescent="0.3">
      <c r="A520" t="s">
        <v>565</v>
      </c>
      <c r="B520">
        <v>28</v>
      </c>
      <c r="C520" t="s">
        <v>35</v>
      </c>
      <c r="D520" t="s">
        <v>29</v>
      </c>
      <c r="E520" t="s">
        <v>49</v>
      </c>
      <c r="F520">
        <v>5759</v>
      </c>
      <c r="G520">
        <v>1</v>
      </c>
      <c r="H520" t="s">
        <v>46</v>
      </c>
      <c r="I520" t="s">
        <v>22</v>
      </c>
      <c r="J520">
        <v>2</v>
      </c>
      <c r="K520">
        <v>1</v>
      </c>
      <c r="L520" t="s">
        <v>23</v>
      </c>
      <c r="M520">
        <v>2</v>
      </c>
      <c r="N520">
        <v>23</v>
      </c>
      <c r="O520">
        <v>2</v>
      </c>
      <c r="P520">
        <v>1</v>
      </c>
      <c r="Q520" t="s">
        <v>23</v>
      </c>
    </row>
    <row r="521" spans="1:17" x14ac:dyDescent="0.3">
      <c r="A521" t="s">
        <v>566</v>
      </c>
      <c r="B521">
        <v>37</v>
      </c>
      <c r="C521" t="s">
        <v>18</v>
      </c>
      <c r="D521" t="s">
        <v>74</v>
      </c>
      <c r="E521" t="s">
        <v>99</v>
      </c>
      <c r="F521">
        <v>10191</v>
      </c>
      <c r="G521">
        <v>3</v>
      </c>
      <c r="H521" t="s">
        <v>37</v>
      </c>
      <c r="I521" t="s">
        <v>31</v>
      </c>
      <c r="J521">
        <v>3</v>
      </c>
      <c r="K521">
        <v>4</v>
      </c>
      <c r="L521" t="s">
        <v>27</v>
      </c>
      <c r="M521">
        <v>3</v>
      </c>
      <c r="N521">
        <v>4</v>
      </c>
      <c r="O521">
        <v>2</v>
      </c>
      <c r="P521">
        <v>4</v>
      </c>
      <c r="Q521" t="s">
        <v>27</v>
      </c>
    </row>
    <row r="522" spans="1:17" x14ac:dyDescent="0.3">
      <c r="A522" t="s">
        <v>567</v>
      </c>
      <c r="B522">
        <v>31</v>
      </c>
      <c r="C522" t="s">
        <v>35</v>
      </c>
      <c r="D522" t="s">
        <v>19</v>
      </c>
      <c r="E522" t="s">
        <v>36</v>
      </c>
      <c r="F522">
        <v>4841</v>
      </c>
      <c r="G522">
        <v>3</v>
      </c>
      <c r="H522" t="s">
        <v>21</v>
      </c>
      <c r="I522" t="s">
        <v>31</v>
      </c>
      <c r="J522">
        <v>4</v>
      </c>
      <c r="K522">
        <v>1</v>
      </c>
      <c r="L522" t="s">
        <v>27</v>
      </c>
      <c r="M522">
        <v>3</v>
      </c>
      <c r="N522">
        <v>9</v>
      </c>
      <c r="O522">
        <v>5</v>
      </c>
      <c r="P522">
        <v>2</v>
      </c>
      <c r="Q522" t="s">
        <v>27</v>
      </c>
    </row>
    <row r="523" spans="1:17" x14ac:dyDescent="0.3">
      <c r="A523" t="s">
        <v>568</v>
      </c>
      <c r="B523">
        <v>44</v>
      </c>
      <c r="C523" t="s">
        <v>35</v>
      </c>
      <c r="D523" t="s">
        <v>74</v>
      </c>
      <c r="E523" t="s">
        <v>75</v>
      </c>
      <c r="F523">
        <v>6590</v>
      </c>
      <c r="G523">
        <v>1</v>
      </c>
      <c r="H523" t="s">
        <v>37</v>
      </c>
      <c r="I523" t="s">
        <v>31</v>
      </c>
      <c r="J523">
        <v>3</v>
      </c>
      <c r="K523">
        <v>3</v>
      </c>
      <c r="L523" t="s">
        <v>23</v>
      </c>
      <c r="M523">
        <v>3</v>
      </c>
      <c r="N523">
        <v>16</v>
      </c>
      <c r="O523">
        <v>0</v>
      </c>
      <c r="P523">
        <v>2</v>
      </c>
      <c r="Q523" t="s">
        <v>27</v>
      </c>
    </row>
    <row r="524" spans="1:17" x14ac:dyDescent="0.3">
      <c r="A524" t="s">
        <v>569</v>
      </c>
      <c r="B524">
        <v>49</v>
      </c>
      <c r="C524" t="s">
        <v>18</v>
      </c>
      <c r="D524" t="s">
        <v>25</v>
      </c>
      <c r="E524" t="s">
        <v>26</v>
      </c>
      <c r="F524">
        <v>5699</v>
      </c>
      <c r="G524">
        <v>2</v>
      </c>
      <c r="H524" t="s">
        <v>46</v>
      </c>
      <c r="I524" t="s">
        <v>56</v>
      </c>
      <c r="J524">
        <v>3</v>
      </c>
      <c r="K524">
        <v>3</v>
      </c>
      <c r="L524" t="s">
        <v>27</v>
      </c>
      <c r="M524">
        <v>3</v>
      </c>
      <c r="N524">
        <v>10</v>
      </c>
      <c r="O524">
        <v>2</v>
      </c>
      <c r="P524">
        <v>3</v>
      </c>
      <c r="Q524" t="s">
        <v>27</v>
      </c>
    </row>
    <row r="525" spans="1:17" x14ac:dyDescent="0.3">
      <c r="A525" t="s">
        <v>570</v>
      </c>
      <c r="B525">
        <v>35</v>
      </c>
      <c r="C525" t="s">
        <v>18</v>
      </c>
      <c r="D525" t="s">
        <v>25</v>
      </c>
      <c r="E525" t="s">
        <v>61</v>
      </c>
      <c r="F525">
        <v>8342</v>
      </c>
      <c r="G525">
        <v>0</v>
      </c>
      <c r="H525" t="s">
        <v>37</v>
      </c>
      <c r="I525" t="s">
        <v>22</v>
      </c>
      <c r="J525">
        <v>4</v>
      </c>
      <c r="K525">
        <v>4</v>
      </c>
      <c r="L525" t="s">
        <v>27</v>
      </c>
      <c r="M525">
        <v>3</v>
      </c>
      <c r="N525">
        <v>2</v>
      </c>
      <c r="O525">
        <v>3</v>
      </c>
      <c r="P525">
        <v>3</v>
      </c>
      <c r="Q525" t="s">
        <v>23</v>
      </c>
    </row>
    <row r="526" spans="1:17" x14ac:dyDescent="0.3">
      <c r="A526" t="s">
        <v>571</v>
      </c>
      <c r="B526">
        <v>47</v>
      </c>
      <c r="C526" t="s">
        <v>35</v>
      </c>
      <c r="D526" t="s">
        <v>25</v>
      </c>
      <c r="E526" t="s">
        <v>20</v>
      </c>
      <c r="F526">
        <v>12143</v>
      </c>
      <c r="G526">
        <v>3</v>
      </c>
      <c r="H526" t="s">
        <v>33</v>
      </c>
      <c r="I526" t="s">
        <v>22</v>
      </c>
      <c r="J526">
        <v>3</v>
      </c>
      <c r="K526">
        <v>4</v>
      </c>
      <c r="L526" t="s">
        <v>27</v>
      </c>
      <c r="M526">
        <v>3</v>
      </c>
      <c r="N526">
        <v>29</v>
      </c>
      <c r="O526">
        <v>1</v>
      </c>
      <c r="P526">
        <v>3</v>
      </c>
      <c r="Q526" t="s">
        <v>27</v>
      </c>
    </row>
    <row r="527" spans="1:17" x14ac:dyDescent="0.3">
      <c r="A527" t="s">
        <v>572</v>
      </c>
      <c r="B527">
        <v>29</v>
      </c>
      <c r="C527" t="s">
        <v>18</v>
      </c>
      <c r="D527" t="s">
        <v>44</v>
      </c>
      <c r="E527" t="s">
        <v>20</v>
      </c>
      <c r="F527">
        <v>10594</v>
      </c>
      <c r="G527">
        <v>3</v>
      </c>
      <c r="H527" t="s">
        <v>21</v>
      </c>
      <c r="I527" t="s">
        <v>22</v>
      </c>
      <c r="J527">
        <v>1</v>
      </c>
      <c r="K527">
        <v>2</v>
      </c>
      <c r="L527" t="s">
        <v>27</v>
      </c>
      <c r="M527">
        <v>4</v>
      </c>
      <c r="N527">
        <v>28</v>
      </c>
      <c r="O527">
        <v>5</v>
      </c>
      <c r="P527">
        <v>1</v>
      </c>
      <c r="Q527" t="s">
        <v>27</v>
      </c>
    </row>
    <row r="528" spans="1:17" x14ac:dyDescent="0.3">
      <c r="A528" t="s">
        <v>573</v>
      </c>
      <c r="B528">
        <v>28</v>
      </c>
      <c r="C528" t="s">
        <v>35</v>
      </c>
      <c r="D528" t="s">
        <v>74</v>
      </c>
      <c r="E528" t="s">
        <v>75</v>
      </c>
      <c r="F528">
        <v>10265</v>
      </c>
      <c r="G528">
        <v>7</v>
      </c>
      <c r="H528" t="s">
        <v>37</v>
      </c>
      <c r="I528" t="s">
        <v>22</v>
      </c>
      <c r="J528">
        <v>4</v>
      </c>
      <c r="K528">
        <v>4</v>
      </c>
      <c r="L528" t="s">
        <v>27</v>
      </c>
      <c r="M528">
        <v>3</v>
      </c>
      <c r="N528">
        <v>26</v>
      </c>
      <c r="O528">
        <v>5</v>
      </c>
      <c r="P528">
        <v>1</v>
      </c>
      <c r="Q528" t="s">
        <v>23</v>
      </c>
    </row>
    <row r="529" spans="1:17" x14ac:dyDescent="0.3">
      <c r="A529" t="s">
        <v>574</v>
      </c>
      <c r="B529">
        <v>44</v>
      </c>
      <c r="C529" t="s">
        <v>35</v>
      </c>
      <c r="D529" t="s">
        <v>74</v>
      </c>
      <c r="E529" t="s">
        <v>20</v>
      </c>
      <c r="F529">
        <v>18825</v>
      </c>
      <c r="G529">
        <v>7</v>
      </c>
      <c r="H529" t="s">
        <v>37</v>
      </c>
      <c r="I529" t="s">
        <v>31</v>
      </c>
      <c r="J529">
        <v>2</v>
      </c>
      <c r="K529">
        <v>2</v>
      </c>
      <c r="L529" t="s">
        <v>27</v>
      </c>
      <c r="M529">
        <v>2</v>
      </c>
      <c r="N529">
        <v>7</v>
      </c>
      <c r="O529">
        <v>0</v>
      </c>
      <c r="P529">
        <v>1</v>
      </c>
      <c r="Q529" t="s">
        <v>27</v>
      </c>
    </row>
    <row r="530" spans="1:17" x14ac:dyDescent="0.3">
      <c r="A530" t="s">
        <v>575</v>
      </c>
      <c r="B530">
        <v>41</v>
      </c>
      <c r="C530" t="s">
        <v>18</v>
      </c>
      <c r="D530" t="s">
        <v>19</v>
      </c>
      <c r="E530" t="s">
        <v>20</v>
      </c>
      <c r="F530">
        <v>12937</v>
      </c>
      <c r="G530">
        <v>1</v>
      </c>
      <c r="H530" t="s">
        <v>37</v>
      </c>
      <c r="I530" t="s">
        <v>31</v>
      </c>
      <c r="J530">
        <v>1</v>
      </c>
      <c r="K530">
        <v>1</v>
      </c>
      <c r="L530" t="s">
        <v>27</v>
      </c>
      <c r="M530">
        <v>3</v>
      </c>
      <c r="N530">
        <v>1</v>
      </c>
      <c r="O530">
        <v>3</v>
      </c>
      <c r="P530">
        <v>3</v>
      </c>
      <c r="Q530" t="s">
        <v>27</v>
      </c>
    </row>
    <row r="531" spans="1:17" x14ac:dyDescent="0.3">
      <c r="A531" t="s">
        <v>576</v>
      </c>
      <c r="B531">
        <v>40</v>
      </c>
      <c r="C531" t="s">
        <v>18</v>
      </c>
      <c r="D531" t="s">
        <v>29</v>
      </c>
      <c r="E531" t="s">
        <v>49</v>
      </c>
      <c r="F531">
        <v>6062</v>
      </c>
      <c r="G531">
        <v>6</v>
      </c>
      <c r="H531" t="s">
        <v>21</v>
      </c>
      <c r="I531" t="s">
        <v>22</v>
      </c>
      <c r="J531">
        <v>2</v>
      </c>
      <c r="K531">
        <v>2</v>
      </c>
      <c r="L531" t="s">
        <v>27</v>
      </c>
      <c r="M531">
        <v>3</v>
      </c>
      <c r="N531">
        <v>9</v>
      </c>
      <c r="O531">
        <v>2</v>
      </c>
      <c r="P531">
        <v>1</v>
      </c>
      <c r="Q531" t="s">
        <v>27</v>
      </c>
    </row>
    <row r="532" spans="1:17" x14ac:dyDescent="0.3">
      <c r="A532" t="s">
        <v>577</v>
      </c>
      <c r="B532">
        <v>42</v>
      </c>
      <c r="C532" t="s">
        <v>35</v>
      </c>
      <c r="D532" t="s">
        <v>44</v>
      </c>
      <c r="E532" t="s">
        <v>54</v>
      </c>
      <c r="F532">
        <v>6416</v>
      </c>
      <c r="G532">
        <v>2</v>
      </c>
      <c r="H532" t="s">
        <v>33</v>
      </c>
      <c r="I532" t="s">
        <v>22</v>
      </c>
      <c r="J532">
        <v>4</v>
      </c>
      <c r="K532">
        <v>2</v>
      </c>
      <c r="L532" t="s">
        <v>27</v>
      </c>
      <c r="M532">
        <v>3</v>
      </c>
      <c r="N532">
        <v>18</v>
      </c>
      <c r="O532">
        <v>3</v>
      </c>
      <c r="P532">
        <v>4</v>
      </c>
      <c r="Q532" t="s">
        <v>27</v>
      </c>
    </row>
    <row r="533" spans="1:17" x14ac:dyDescent="0.3">
      <c r="A533" t="s">
        <v>578</v>
      </c>
      <c r="B533">
        <v>18</v>
      </c>
      <c r="C533" t="s">
        <v>35</v>
      </c>
      <c r="D533" t="s">
        <v>19</v>
      </c>
      <c r="E533" t="s">
        <v>40</v>
      </c>
      <c r="F533">
        <v>2944</v>
      </c>
      <c r="G533">
        <v>0</v>
      </c>
      <c r="H533" t="s">
        <v>21</v>
      </c>
      <c r="I533" t="s">
        <v>56</v>
      </c>
      <c r="J533">
        <v>1</v>
      </c>
      <c r="K533">
        <v>1</v>
      </c>
      <c r="L533" t="s">
        <v>23</v>
      </c>
      <c r="M533">
        <v>4</v>
      </c>
      <c r="N533">
        <v>27</v>
      </c>
      <c r="O533">
        <v>0</v>
      </c>
      <c r="P533">
        <v>2</v>
      </c>
      <c r="Q533" t="s">
        <v>27</v>
      </c>
    </row>
    <row r="534" spans="1:17" x14ac:dyDescent="0.3">
      <c r="A534" t="s">
        <v>579</v>
      </c>
      <c r="B534">
        <v>20</v>
      </c>
      <c r="C534" t="s">
        <v>35</v>
      </c>
      <c r="D534" t="s">
        <v>19</v>
      </c>
      <c r="E534" t="s">
        <v>40</v>
      </c>
      <c r="F534">
        <v>6948</v>
      </c>
      <c r="G534">
        <v>2</v>
      </c>
      <c r="H534" t="s">
        <v>37</v>
      </c>
      <c r="I534" t="s">
        <v>31</v>
      </c>
      <c r="J534">
        <v>3</v>
      </c>
      <c r="K534">
        <v>2</v>
      </c>
      <c r="L534" t="s">
        <v>27</v>
      </c>
      <c r="M534">
        <v>2</v>
      </c>
      <c r="N534">
        <v>17</v>
      </c>
      <c r="O534">
        <v>0</v>
      </c>
      <c r="P534">
        <v>3</v>
      </c>
      <c r="Q534" t="s">
        <v>27</v>
      </c>
    </row>
    <row r="535" spans="1:17" x14ac:dyDescent="0.3">
      <c r="A535" t="s">
        <v>580</v>
      </c>
      <c r="B535">
        <v>31</v>
      </c>
      <c r="C535" t="s">
        <v>35</v>
      </c>
      <c r="D535" t="s">
        <v>19</v>
      </c>
      <c r="E535" t="s">
        <v>20</v>
      </c>
      <c r="F535">
        <v>11347</v>
      </c>
      <c r="G535">
        <v>0</v>
      </c>
      <c r="H535" t="s">
        <v>33</v>
      </c>
      <c r="I535" t="s">
        <v>22</v>
      </c>
      <c r="J535">
        <v>1</v>
      </c>
      <c r="K535">
        <v>4</v>
      </c>
      <c r="L535" t="s">
        <v>23</v>
      </c>
      <c r="M535">
        <v>3</v>
      </c>
      <c r="N535">
        <v>15</v>
      </c>
      <c r="O535">
        <v>5</v>
      </c>
      <c r="P535">
        <v>1</v>
      </c>
      <c r="Q535" t="s">
        <v>23</v>
      </c>
    </row>
    <row r="536" spans="1:17" x14ac:dyDescent="0.3">
      <c r="A536" t="s">
        <v>581</v>
      </c>
      <c r="B536">
        <v>18</v>
      </c>
      <c r="C536" t="s">
        <v>35</v>
      </c>
      <c r="D536" t="s">
        <v>74</v>
      </c>
      <c r="E536" t="s">
        <v>75</v>
      </c>
      <c r="F536">
        <v>8008</v>
      </c>
      <c r="G536">
        <v>0</v>
      </c>
      <c r="H536" t="s">
        <v>21</v>
      </c>
      <c r="I536" t="s">
        <v>22</v>
      </c>
      <c r="J536">
        <v>1</v>
      </c>
      <c r="K536">
        <v>1</v>
      </c>
      <c r="L536" t="s">
        <v>27</v>
      </c>
      <c r="M536">
        <v>3</v>
      </c>
      <c r="N536">
        <v>27</v>
      </c>
      <c r="O536">
        <v>6</v>
      </c>
      <c r="P536">
        <v>4</v>
      </c>
      <c r="Q536" t="s">
        <v>27</v>
      </c>
    </row>
    <row r="537" spans="1:17" x14ac:dyDescent="0.3">
      <c r="A537" t="s">
        <v>582</v>
      </c>
      <c r="B537">
        <v>46</v>
      </c>
      <c r="C537" t="s">
        <v>35</v>
      </c>
      <c r="D537" t="s">
        <v>74</v>
      </c>
      <c r="E537" t="s">
        <v>20</v>
      </c>
      <c r="F537">
        <v>16086</v>
      </c>
      <c r="G537">
        <v>8</v>
      </c>
      <c r="H537" t="s">
        <v>37</v>
      </c>
      <c r="I537" t="s">
        <v>56</v>
      </c>
      <c r="J537">
        <v>2</v>
      </c>
      <c r="K537">
        <v>3</v>
      </c>
      <c r="L537" t="s">
        <v>27</v>
      </c>
      <c r="M537">
        <v>3</v>
      </c>
      <c r="N537">
        <v>1</v>
      </c>
      <c r="O537">
        <v>3</v>
      </c>
      <c r="P537">
        <v>1</v>
      </c>
      <c r="Q537" t="s">
        <v>27</v>
      </c>
    </row>
    <row r="538" spans="1:17" x14ac:dyDescent="0.3">
      <c r="A538" t="s">
        <v>583</v>
      </c>
      <c r="B538">
        <v>30</v>
      </c>
      <c r="C538" t="s">
        <v>35</v>
      </c>
      <c r="D538" t="s">
        <v>19</v>
      </c>
      <c r="E538" t="s">
        <v>36</v>
      </c>
      <c r="F538">
        <v>10049</v>
      </c>
      <c r="G538">
        <v>1</v>
      </c>
      <c r="H538" t="s">
        <v>37</v>
      </c>
      <c r="I538" t="s">
        <v>31</v>
      </c>
      <c r="J538">
        <v>2</v>
      </c>
      <c r="K538">
        <v>1</v>
      </c>
      <c r="L538" t="s">
        <v>27</v>
      </c>
      <c r="M538">
        <v>1</v>
      </c>
      <c r="N538">
        <v>24</v>
      </c>
      <c r="O538">
        <v>6</v>
      </c>
      <c r="P538">
        <v>2</v>
      </c>
      <c r="Q538" t="s">
        <v>23</v>
      </c>
    </row>
    <row r="539" spans="1:17" x14ac:dyDescent="0.3">
      <c r="A539" t="s">
        <v>584</v>
      </c>
      <c r="B539">
        <v>34</v>
      </c>
      <c r="C539" t="s">
        <v>35</v>
      </c>
      <c r="D539" t="s">
        <v>19</v>
      </c>
      <c r="E539" t="s">
        <v>40</v>
      </c>
      <c r="F539">
        <v>7100</v>
      </c>
      <c r="G539">
        <v>0</v>
      </c>
      <c r="H539" t="s">
        <v>37</v>
      </c>
      <c r="I539" t="s">
        <v>22</v>
      </c>
      <c r="J539">
        <v>4</v>
      </c>
      <c r="K539">
        <v>2</v>
      </c>
      <c r="L539" t="s">
        <v>27</v>
      </c>
      <c r="M539">
        <v>3</v>
      </c>
      <c r="N539">
        <v>28</v>
      </c>
      <c r="O539">
        <v>4</v>
      </c>
      <c r="P539">
        <v>1</v>
      </c>
      <c r="Q539" t="s">
        <v>27</v>
      </c>
    </row>
    <row r="540" spans="1:17" x14ac:dyDescent="0.3">
      <c r="A540" t="s">
        <v>585</v>
      </c>
      <c r="B540">
        <v>34</v>
      </c>
      <c r="C540" t="s">
        <v>35</v>
      </c>
      <c r="D540" t="s">
        <v>25</v>
      </c>
      <c r="E540" t="s">
        <v>61</v>
      </c>
      <c r="F540">
        <v>5211</v>
      </c>
      <c r="G540">
        <v>3</v>
      </c>
      <c r="H540" t="s">
        <v>37</v>
      </c>
      <c r="I540" t="s">
        <v>56</v>
      </c>
      <c r="J540">
        <v>4</v>
      </c>
      <c r="K540">
        <v>1</v>
      </c>
      <c r="L540" t="s">
        <v>27</v>
      </c>
      <c r="M540">
        <v>3</v>
      </c>
      <c r="N540">
        <v>5</v>
      </c>
      <c r="O540">
        <v>5</v>
      </c>
      <c r="P540">
        <v>1</v>
      </c>
      <c r="Q540" t="s">
        <v>23</v>
      </c>
    </row>
    <row r="541" spans="1:17" x14ac:dyDescent="0.3">
      <c r="A541" t="s">
        <v>586</v>
      </c>
      <c r="B541">
        <v>45</v>
      </c>
      <c r="C541" t="s">
        <v>35</v>
      </c>
      <c r="D541" t="s">
        <v>25</v>
      </c>
      <c r="E541" t="s">
        <v>26</v>
      </c>
      <c r="F541">
        <v>4059</v>
      </c>
      <c r="G541">
        <v>0</v>
      </c>
      <c r="H541" t="s">
        <v>37</v>
      </c>
      <c r="I541" t="s">
        <v>31</v>
      </c>
      <c r="J541">
        <v>4</v>
      </c>
      <c r="K541">
        <v>2</v>
      </c>
      <c r="L541" t="s">
        <v>23</v>
      </c>
      <c r="M541">
        <v>4</v>
      </c>
      <c r="N541">
        <v>12</v>
      </c>
      <c r="O541">
        <v>3</v>
      </c>
      <c r="P541">
        <v>4</v>
      </c>
      <c r="Q541" t="s">
        <v>27</v>
      </c>
    </row>
    <row r="542" spans="1:17" x14ac:dyDescent="0.3">
      <c r="A542" t="s">
        <v>587</v>
      </c>
      <c r="B542">
        <v>18</v>
      </c>
      <c r="C542" t="s">
        <v>35</v>
      </c>
      <c r="D542" t="s">
        <v>25</v>
      </c>
      <c r="E542" t="s">
        <v>20</v>
      </c>
      <c r="F542">
        <v>11463</v>
      </c>
      <c r="G542">
        <v>0</v>
      </c>
      <c r="H542" t="s">
        <v>37</v>
      </c>
      <c r="I542" t="s">
        <v>31</v>
      </c>
      <c r="J542">
        <v>2</v>
      </c>
      <c r="K542">
        <v>4</v>
      </c>
      <c r="L542" t="s">
        <v>27</v>
      </c>
      <c r="M542">
        <v>1</v>
      </c>
      <c r="N542">
        <v>30</v>
      </c>
      <c r="O542">
        <v>1</v>
      </c>
      <c r="P542">
        <v>1</v>
      </c>
      <c r="Q542" t="s">
        <v>27</v>
      </c>
    </row>
    <row r="543" spans="1:17" x14ac:dyDescent="0.3">
      <c r="A543" t="s">
        <v>588</v>
      </c>
      <c r="B543">
        <v>39</v>
      </c>
      <c r="C543" t="s">
        <v>35</v>
      </c>
      <c r="D543" t="s">
        <v>29</v>
      </c>
      <c r="E543" t="s">
        <v>30</v>
      </c>
      <c r="F543">
        <v>5445</v>
      </c>
      <c r="G543">
        <v>1</v>
      </c>
      <c r="H543" t="s">
        <v>37</v>
      </c>
      <c r="I543" t="s">
        <v>22</v>
      </c>
      <c r="J543">
        <v>2</v>
      </c>
      <c r="K543">
        <v>3</v>
      </c>
      <c r="L543" t="s">
        <v>23</v>
      </c>
      <c r="M543">
        <v>4</v>
      </c>
      <c r="N543">
        <v>13</v>
      </c>
      <c r="O543">
        <v>2</v>
      </c>
      <c r="P543">
        <v>1</v>
      </c>
      <c r="Q543" t="s">
        <v>23</v>
      </c>
    </row>
    <row r="544" spans="1:17" x14ac:dyDescent="0.3">
      <c r="A544" t="s">
        <v>589</v>
      </c>
      <c r="B544">
        <v>39</v>
      </c>
      <c r="C544" t="s">
        <v>35</v>
      </c>
      <c r="D544" t="s">
        <v>19</v>
      </c>
      <c r="E544" t="s">
        <v>36</v>
      </c>
      <c r="F544">
        <v>7492</v>
      </c>
      <c r="G544">
        <v>2</v>
      </c>
      <c r="H544" t="s">
        <v>21</v>
      </c>
      <c r="I544" t="s">
        <v>56</v>
      </c>
      <c r="J544">
        <v>2</v>
      </c>
      <c r="K544">
        <v>3</v>
      </c>
      <c r="L544" t="s">
        <v>27</v>
      </c>
      <c r="M544">
        <v>3</v>
      </c>
      <c r="N544">
        <v>30</v>
      </c>
      <c r="O544">
        <v>2</v>
      </c>
      <c r="P544">
        <v>1</v>
      </c>
      <c r="Q544" t="s">
        <v>27</v>
      </c>
    </row>
    <row r="545" spans="1:17" x14ac:dyDescent="0.3">
      <c r="A545" t="s">
        <v>590</v>
      </c>
      <c r="B545">
        <v>58</v>
      </c>
      <c r="C545" t="s">
        <v>18</v>
      </c>
      <c r="D545" t="s">
        <v>19</v>
      </c>
      <c r="E545" t="s">
        <v>40</v>
      </c>
      <c r="F545">
        <v>6035</v>
      </c>
      <c r="G545">
        <v>0</v>
      </c>
      <c r="H545" t="s">
        <v>37</v>
      </c>
      <c r="I545" t="s">
        <v>31</v>
      </c>
      <c r="J545">
        <v>4</v>
      </c>
      <c r="K545">
        <v>3</v>
      </c>
      <c r="L545" t="s">
        <v>27</v>
      </c>
      <c r="M545">
        <v>4</v>
      </c>
      <c r="N545">
        <v>22</v>
      </c>
      <c r="O545">
        <v>6</v>
      </c>
      <c r="P545">
        <v>2</v>
      </c>
      <c r="Q545" t="s">
        <v>27</v>
      </c>
    </row>
    <row r="546" spans="1:17" x14ac:dyDescent="0.3">
      <c r="A546" t="s">
        <v>591</v>
      </c>
      <c r="B546">
        <v>33</v>
      </c>
      <c r="C546" t="s">
        <v>35</v>
      </c>
      <c r="D546" t="s">
        <v>74</v>
      </c>
      <c r="E546" t="s">
        <v>75</v>
      </c>
      <c r="F546">
        <v>4091</v>
      </c>
      <c r="G546">
        <v>4</v>
      </c>
      <c r="H546" t="s">
        <v>37</v>
      </c>
      <c r="I546" t="s">
        <v>22</v>
      </c>
      <c r="J546">
        <v>1</v>
      </c>
      <c r="K546">
        <v>4</v>
      </c>
      <c r="L546" t="s">
        <v>27</v>
      </c>
      <c r="M546">
        <v>3</v>
      </c>
      <c r="N546">
        <v>12</v>
      </c>
      <c r="O546">
        <v>2</v>
      </c>
      <c r="P546">
        <v>2</v>
      </c>
      <c r="Q546" t="s">
        <v>27</v>
      </c>
    </row>
    <row r="547" spans="1:17" x14ac:dyDescent="0.3">
      <c r="A547" t="s">
        <v>592</v>
      </c>
      <c r="B547">
        <v>43</v>
      </c>
      <c r="C547" t="s">
        <v>18</v>
      </c>
      <c r="D547" t="s">
        <v>19</v>
      </c>
      <c r="E547" t="s">
        <v>40</v>
      </c>
      <c r="F547">
        <v>9907</v>
      </c>
      <c r="G547">
        <v>3</v>
      </c>
      <c r="H547" t="s">
        <v>46</v>
      </c>
      <c r="I547" t="s">
        <v>22</v>
      </c>
      <c r="J547">
        <v>2</v>
      </c>
      <c r="K547">
        <v>2</v>
      </c>
      <c r="L547" t="s">
        <v>27</v>
      </c>
      <c r="M547">
        <v>3</v>
      </c>
      <c r="N547">
        <v>18</v>
      </c>
      <c r="O547">
        <v>2</v>
      </c>
      <c r="P547">
        <v>3</v>
      </c>
      <c r="Q547" t="s">
        <v>27</v>
      </c>
    </row>
    <row r="548" spans="1:17" x14ac:dyDescent="0.3">
      <c r="A548" t="s">
        <v>593</v>
      </c>
      <c r="B548">
        <v>36</v>
      </c>
      <c r="C548" t="s">
        <v>18</v>
      </c>
      <c r="D548" t="s">
        <v>74</v>
      </c>
      <c r="E548" t="s">
        <v>75</v>
      </c>
      <c r="F548">
        <v>6059</v>
      </c>
      <c r="G548">
        <v>4</v>
      </c>
      <c r="H548" t="s">
        <v>21</v>
      </c>
      <c r="I548" t="s">
        <v>22</v>
      </c>
      <c r="J548">
        <v>1</v>
      </c>
      <c r="K548">
        <v>3</v>
      </c>
      <c r="L548" t="s">
        <v>27</v>
      </c>
      <c r="M548">
        <v>2</v>
      </c>
      <c r="N548">
        <v>26</v>
      </c>
      <c r="O548">
        <v>5</v>
      </c>
      <c r="P548">
        <v>3</v>
      </c>
      <c r="Q548" t="s">
        <v>27</v>
      </c>
    </row>
    <row r="549" spans="1:17" x14ac:dyDescent="0.3">
      <c r="A549" t="s">
        <v>594</v>
      </c>
      <c r="B549">
        <v>37</v>
      </c>
      <c r="C549" t="s">
        <v>35</v>
      </c>
      <c r="D549" t="s">
        <v>19</v>
      </c>
      <c r="E549" t="s">
        <v>40</v>
      </c>
      <c r="F549">
        <v>12568</v>
      </c>
      <c r="G549">
        <v>3</v>
      </c>
      <c r="H549" t="s">
        <v>37</v>
      </c>
      <c r="I549" t="s">
        <v>31</v>
      </c>
      <c r="J549">
        <v>4</v>
      </c>
      <c r="K549">
        <v>3</v>
      </c>
      <c r="L549" t="s">
        <v>23</v>
      </c>
      <c r="M549">
        <v>2</v>
      </c>
      <c r="N549">
        <v>4</v>
      </c>
      <c r="O549">
        <v>6</v>
      </c>
      <c r="P549">
        <v>1</v>
      </c>
      <c r="Q549" t="s">
        <v>27</v>
      </c>
    </row>
    <row r="550" spans="1:17" x14ac:dyDescent="0.3">
      <c r="A550" t="s">
        <v>595</v>
      </c>
      <c r="B550">
        <v>32</v>
      </c>
      <c r="C550" t="s">
        <v>35</v>
      </c>
      <c r="D550" t="s">
        <v>74</v>
      </c>
      <c r="E550" t="s">
        <v>75</v>
      </c>
      <c r="F550">
        <v>8005</v>
      </c>
      <c r="G550">
        <v>4</v>
      </c>
      <c r="H550" t="s">
        <v>21</v>
      </c>
      <c r="I550" t="s">
        <v>22</v>
      </c>
      <c r="J550">
        <v>3</v>
      </c>
      <c r="K550">
        <v>1</v>
      </c>
      <c r="L550" t="s">
        <v>23</v>
      </c>
      <c r="M550">
        <v>3</v>
      </c>
      <c r="N550">
        <v>20</v>
      </c>
      <c r="O550">
        <v>2</v>
      </c>
      <c r="P550">
        <v>1</v>
      </c>
      <c r="Q550" t="s">
        <v>27</v>
      </c>
    </row>
    <row r="551" spans="1:17" x14ac:dyDescent="0.3">
      <c r="A551" t="s">
        <v>596</v>
      </c>
      <c r="B551">
        <v>29</v>
      </c>
      <c r="C551" t="s">
        <v>35</v>
      </c>
      <c r="D551" t="s">
        <v>44</v>
      </c>
      <c r="E551" t="s">
        <v>54</v>
      </c>
      <c r="F551">
        <v>6432</v>
      </c>
      <c r="G551">
        <v>2</v>
      </c>
      <c r="H551" t="s">
        <v>21</v>
      </c>
      <c r="I551" t="s">
        <v>31</v>
      </c>
      <c r="J551">
        <v>3</v>
      </c>
      <c r="K551">
        <v>4</v>
      </c>
      <c r="L551" t="s">
        <v>27</v>
      </c>
      <c r="M551">
        <v>3</v>
      </c>
      <c r="N551">
        <v>19</v>
      </c>
      <c r="O551">
        <v>4</v>
      </c>
      <c r="P551">
        <v>1</v>
      </c>
      <c r="Q551" t="s">
        <v>27</v>
      </c>
    </row>
    <row r="552" spans="1:17" x14ac:dyDescent="0.3">
      <c r="A552" t="s">
        <v>597</v>
      </c>
      <c r="B552">
        <v>37</v>
      </c>
      <c r="C552" t="s">
        <v>35</v>
      </c>
      <c r="D552" t="s">
        <v>19</v>
      </c>
      <c r="E552" t="s">
        <v>36</v>
      </c>
      <c r="F552">
        <v>7610</v>
      </c>
      <c r="G552">
        <v>0</v>
      </c>
      <c r="H552" t="s">
        <v>46</v>
      </c>
      <c r="I552" t="s">
        <v>22</v>
      </c>
      <c r="J552">
        <v>1</v>
      </c>
      <c r="K552">
        <v>3</v>
      </c>
      <c r="L552" t="s">
        <v>23</v>
      </c>
      <c r="M552">
        <v>4</v>
      </c>
      <c r="N552">
        <v>26</v>
      </c>
      <c r="O552">
        <v>2</v>
      </c>
      <c r="P552">
        <v>2</v>
      </c>
      <c r="Q552" t="s">
        <v>27</v>
      </c>
    </row>
    <row r="553" spans="1:17" x14ac:dyDescent="0.3">
      <c r="A553" t="s">
        <v>598</v>
      </c>
      <c r="B553">
        <v>36</v>
      </c>
      <c r="C553" t="s">
        <v>35</v>
      </c>
      <c r="D553" t="s">
        <v>44</v>
      </c>
      <c r="E553" t="s">
        <v>20</v>
      </c>
      <c r="F553">
        <v>12940</v>
      </c>
      <c r="G553">
        <v>0</v>
      </c>
      <c r="H553" t="s">
        <v>37</v>
      </c>
      <c r="I553" t="s">
        <v>22</v>
      </c>
      <c r="J553">
        <v>4</v>
      </c>
      <c r="K553">
        <v>4</v>
      </c>
      <c r="L553" t="s">
        <v>27</v>
      </c>
      <c r="M553">
        <v>4</v>
      </c>
      <c r="N553">
        <v>12</v>
      </c>
      <c r="O553">
        <v>6</v>
      </c>
      <c r="P553">
        <v>3</v>
      </c>
      <c r="Q553" t="s">
        <v>27</v>
      </c>
    </row>
    <row r="554" spans="1:17" x14ac:dyDescent="0.3">
      <c r="A554" t="s">
        <v>599</v>
      </c>
      <c r="B554">
        <v>47</v>
      </c>
      <c r="C554" t="s">
        <v>18</v>
      </c>
      <c r="D554" t="s">
        <v>19</v>
      </c>
      <c r="E554" t="s">
        <v>40</v>
      </c>
      <c r="F554">
        <v>11817</v>
      </c>
      <c r="G554">
        <v>9</v>
      </c>
      <c r="H554" t="s">
        <v>46</v>
      </c>
      <c r="I554" t="s">
        <v>31</v>
      </c>
      <c r="J554">
        <v>4</v>
      </c>
      <c r="K554">
        <v>2</v>
      </c>
      <c r="L554" t="s">
        <v>27</v>
      </c>
      <c r="M554">
        <v>1</v>
      </c>
      <c r="N554">
        <v>27</v>
      </c>
      <c r="O554">
        <v>1</v>
      </c>
      <c r="P554">
        <v>4</v>
      </c>
      <c r="Q554" t="s">
        <v>27</v>
      </c>
    </row>
    <row r="555" spans="1:17" x14ac:dyDescent="0.3">
      <c r="A555" t="s">
        <v>600</v>
      </c>
      <c r="B555">
        <v>37</v>
      </c>
      <c r="C555" t="s">
        <v>18</v>
      </c>
      <c r="D555" t="s">
        <v>19</v>
      </c>
      <c r="E555" t="s">
        <v>20</v>
      </c>
      <c r="F555">
        <v>12432</v>
      </c>
      <c r="G555">
        <v>0</v>
      </c>
      <c r="H555" t="s">
        <v>37</v>
      </c>
      <c r="I555" t="s">
        <v>31</v>
      </c>
      <c r="J555">
        <v>4</v>
      </c>
      <c r="K555">
        <v>2</v>
      </c>
      <c r="L555" t="s">
        <v>23</v>
      </c>
      <c r="M555">
        <v>3</v>
      </c>
      <c r="N555">
        <v>1</v>
      </c>
      <c r="O555">
        <v>4</v>
      </c>
      <c r="P555">
        <v>1</v>
      </c>
      <c r="Q555" t="s">
        <v>27</v>
      </c>
    </row>
    <row r="556" spans="1:17" x14ac:dyDescent="0.3">
      <c r="A556" t="s">
        <v>601</v>
      </c>
      <c r="B556">
        <v>28</v>
      </c>
      <c r="C556" t="s">
        <v>35</v>
      </c>
      <c r="D556" t="s">
        <v>44</v>
      </c>
      <c r="E556" t="s">
        <v>45</v>
      </c>
      <c r="F556">
        <v>9980</v>
      </c>
      <c r="G556">
        <v>5</v>
      </c>
      <c r="H556" t="s">
        <v>33</v>
      </c>
      <c r="I556" t="s">
        <v>31</v>
      </c>
      <c r="J556">
        <v>3</v>
      </c>
      <c r="K556">
        <v>2</v>
      </c>
      <c r="L556" t="s">
        <v>27</v>
      </c>
      <c r="M556">
        <v>3</v>
      </c>
      <c r="N556">
        <v>8</v>
      </c>
      <c r="O556">
        <v>3</v>
      </c>
      <c r="P556">
        <v>4</v>
      </c>
      <c r="Q556" t="s">
        <v>27</v>
      </c>
    </row>
    <row r="557" spans="1:17" x14ac:dyDescent="0.3">
      <c r="A557" t="s">
        <v>602</v>
      </c>
      <c r="B557">
        <v>46</v>
      </c>
      <c r="C557" t="s">
        <v>18</v>
      </c>
      <c r="D557" t="s">
        <v>29</v>
      </c>
      <c r="E557" t="s">
        <v>49</v>
      </c>
      <c r="F557">
        <v>10227</v>
      </c>
      <c r="G557">
        <v>7</v>
      </c>
      <c r="H557" t="s">
        <v>37</v>
      </c>
      <c r="I557" t="s">
        <v>31</v>
      </c>
      <c r="J557">
        <v>4</v>
      </c>
      <c r="K557">
        <v>3</v>
      </c>
      <c r="L557" t="s">
        <v>27</v>
      </c>
      <c r="M557">
        <v>3</v>
      </c>
      <c r="N557">
        <v>16</v>
      </c>
      <c r="O557">
        <v>1</v>
      </c>
      <c r="P557">
        <v>2</v>
      </c>
      <c r="Q557" t="s">
        <v>27</v>
      </c>
    </row>
    <row r="558" spans="1:17" x14ac:dyDescent="0.3">
      <c r="A558" t="s">
        <v>603</v>
      </c>
      <c r="B558">
        <v>34</v>
      </c>
      <c r="C558" t="s">
        <v>35</v>
      </c>
      <c r="D558" t="s">
        <v>70</v>
      </c>
      <c r="E558" t="s">
        <v>71</v>
      </c>
      <c r="F558">
        <v>7770</v>
      </c>
      <c r="G558">
        <v>9</v>
      </c>
      <c r="H558" t="s">
        <v>46</v>
      </c>
      <c r="I558" t="s">
        <v>31</v>
      </c>
      <c r="J558">
        <v>4</v>
      </c>
      <c r="K558">
        <v>1</v>
      </c>
      <c r="L558" t="s">
        <v>27</v>
      </c>
      <c r="M558">
        <v>3</v>
      </c>
      <c r="N558">
        <v>10</v>
      </c>
      <c r="O558">
        <v>4</v>
      </c>
      <c r="P558">
        <v>1</v>
      </c>
      <c r="Q558" t="s">
        <v>27</v>
      </c>
    </row>
    <row r="559" spans="1:17" x14ac:dyDescent="0.3">
      <c r="A559" t="s">
        <v>604</v>
      </c>
      <c r="B559">
        <v>39</v>
      </c>
      <c r="C559" t="s">
        <v>35</v>
      </c>
      <c r="D559" t="s">
        <v>44</v>
      </c>
      <c r="E559" t="s">
        <v>45</v>
      </c>
      <c r="F559">
        <v>8250</v>
      </c>
      <c r="G559">
        <v>6</v>
      </c>
      <c r="H559" t="s">
        <v>37</v>
      </c>
      <c r="I559" t="s">
        <v>31</v>
      </c>
      <c r="J559">
        <v>3</v>
      </c>
      <c r="K559">
        <v>2</v>
      </c>
      <c r="L559" t="s">
        <v>27</v>
      </c>
      <c r="M559">
        <v>3</v>
      </c>
      <c r="N559">
        <v>8</v>
      </c>
      <c r="O559">
        <v>0</v>
      </c>
      <c r="P559">
        <v>3</v>
      </c>
      <c r="Q559" t="s">
        <v>27</v>
      </c>
    </row>
    <row r="560" spans="1:17" x14ac:dyDescent="0.3">
      <c r="A560" t="s">
        <v>605</v>
      </c>
      <c r="B560">
        <v>40</v>
      </c>
      <c r="C560" t="s">
        <v>18</v>
      </c>
      <c r="D560" t="s">
        <v>29</v>
      </c>
      <c r="E560" t="s">
        <v>30</v>
      </c>
      <c r="F560">
        <v>8702</v>
      </c>
      <c r="G560">
        <v>0</v>
      </c>
      <c r="H560" t="s">
        <v>37</v>
      </c>
      <c r="I560" t="s">
        <v>31</v>
      </c>
      <c r="J560">
        <v>1</v>
      </c>
      <c r="K560">
        <v>3</v>
      </c>
      <c r="L560" t="s">
        <v>27</v>
      </c>
      <c r="M560">
        <v>4</v>
      </c>
      <c r="N560">
        <v>24</v>
      </c>
      <c r="O560">
        <v>0</v>
      </c>
      <c r="P560">
        <v>2</v>
      </c>
      <c r="Q560" t="s">
        <v>27</v>
      </c>
    </row>
    <row r="561" spans="1:17" x14ac:dyDescent="0.3">
      <c r="A561" t="s">
        <v>606</v>
      </c>
      <c r="B561">
        <v>47</v>
      </c>
      <c r="C561" t="s">
        <v>18</v>
      </c>
      <c r="D561" t="s">
        <v>25</v>
      </c>
      <c r="E561" t="s">
        <v>61</v>
      </c>
      <c r="F561">
        <v>13021</v>
      </c>
      <c r="G561">
        <v>12</v>
      </c>
      <c r="H561" t="s">
        <v>21</v>
      </c>
      <c r="I561" t="s">
        <v>31</v>
      </c>
      <c r="J561">
        <v>4</v>
      </c>
      <c r="K561">
        <v>1</v>
      </c>
      <c r="L561" t="s">
        <v>27</v>
      </c>
      <c r="M561">
        <v>3</v>
      </c>
      <c r="N561">
        <v>9</v>
      </c>
      <c r="O561">
        <v>0</v>
      </c>
      <c r="P561">
        <v>1</v>
      </c>
      <c r="Q561" t="s">
        <v>27</v>
      </c>
    </row>
    <row r="562" spans="1:17" x14ac:dyDescent="0.3">
      <c r="A562" t="s">
        <v>607</v>
      </c>
      <c r="B562">
        <v>37</v>
      </c>
      <c r="C562" t="s">
        <v>35</v>
      </c>
      <c r="D562" t="s">
        <v>74</v>
      </c>
      <c r="E562" t="s">
        <v>75</v>
      </c>
      <c r="F562">
        <v>12806</v>
      </c>
      <c r="G562">
        <v>11</v>
      </c>
      <c r="H562" t="s">
        <v>21</v>
      </c>
      <c r="I562" t="s">
        <v>22</v>
      </c>
      <c r="J562">
        <v>2</v>
      </c>
      <c r="K562">
        <v>1</v>
      </c>
      <c r="L562" t="s">
        <v>27</v>
      </c>
      <c r="M562">
        <v>2</v>
      </c>
      <c r="N562">
        <v>3</v>
      </c>
      <c r="O562">
        <v>1</v>
      </c>
      <c r="P562">
        <v>1</v>
      </c>
      <c r="Q562" t="s">
        <v>27</v>
      </c>
    </row>
    <row r="563" spans="1:17" x14ac:dyDescent="0.3">
      <c r="A563" t="s">
        <v>608</v>
      </c>
      <c r="B563">
        <v>43</v>
      </c>
      <c r="C563" t="s">
        <v>18</v>
      </c>
      <c r="D563" t="s">
        <v>70</v>
      </c>
      <c r="E563" t="s">
        <v>20</v>
      </c>
      <c r="F563">
        <v>9258</v>
      </c>
      <c r="G563">
        <v>1</v>
      </c>
      <c r="H563" t="s">
        <v>37</v>
      </c>
      <c r="I563" t="s">
        <v>22</v>
      </c>
      <c r="J563">
        <v>4</v>
      </c>
      <c r="K563">
        <v>3</v>
      </c>
      <c r="L563" t="s">
        <v>27</v>
      </c>
      <c r="M563">
        <v>2</v>
      </c>
      <c r="N563">
        <v>11</v>
      </c>
      <c r="O563">
        <v>4</v>
      </c>
      <c r="P563">
        <v>3</v>
      </c>
      <c r="Q563" t="s">
        <v>27</v>
      </c>
    </row>
    <row r="564" spans="1:17" x14ac:dyDescent="0.3">
      <c r="A564" t="s">
        <v>609</v>
      </c>
      <c r="B564">
        <v>42</v>
      </c>
      <c r="C564" t="s">
        <v>18</v>
      </c>
      <c r="D564" t="s">
        <v>19</v>
      </c>
      <c r="E564" t="s">
        <v>40</v>
      </c>
      <c r="F564">
        <v>7960</v>
      </c>
      <c r="G564">
        <v>4</v>
      </c>
      <c r="H564" t="s">
        <v>46</v>
      </c>
      <c r="I564" t="s">
        <v>31</v>
      </c>
      <c r="J564">
        <v>1</v>
      </c>
      <c r="K564">
        <v>3</v>
      </c>
      <c r="L564" t="s">
        <v>27</v>
      </c>
      <c r="M564">
        <v>3</v>
      </c>
      <c r="N564">
        <v>18</v>
      </c>
      <c r="O564">
        <v>3</v>
      </c>
      <c r="P564">
        <v>1</v>
      </c>
      <c r="Q564" t="s">
        <v>27</v>
      </c>
    </row>
    <row r="565" spans="1:17" x14ac:dyDescent="0.3">
      <c r="A565" t="s">
        <v>610</v>
      </c>
      <c r="B565">
        <v>41</v>
      </c>
      <c r="C565" t="s">
        <v>35</v>
      </c>
      <c r="D565" t="s">
        <v>25</v>
      </c>
      <c r="E565" t="s">
        <v>26</v>
      </c>
      <c r="F565">
        <v>14846</v>
      </c>
      <c r="G565">
        <v>18</v>
      </c>
      <c r="H565" t="s">
        <v>37</v>
      </c>
      <c r="I565" t="s">
        <v>31</v>
      </c>
      <c r="J565">
        <v>1</v>
      </c>
      <c r="K565">
        <v>2</v>
      </c>
      <c r="L565" t="s">
        <v>27</v>
      </c>
      <c r="M565">
        <v>2</v>
      </c>
      <c r="N565">
        <v>22</v>
      </c>
      <c r="O565">
        <v>0</v>
      </c>
      <c r="P565">
        <v>3</v>
      </c>
      <c r="Q565" t="s">
        <v>27</v>
      </c>
    </row>
    <row r="566" spans="1:17" x14ac:dyDescent="0.3">
      <c r="A566" t="s">
        <v>611</v>
      </c>
      <c r="B566">
        <v>40</v>
      </c>
      <c r="C566" t="s">
        <v>35</v>
      </c>
      <c r="D566" t="s">
        <v>25</v>
      </c>
      <c r="E566" t="s">
        <v>26</v>
      </c>
      <c r="F566">
        <v>10671</v>
      </c>
      <c r="G566">
        <v>6</v>
      </c>
      <c r="H566" t="s">
        <v>37</v>
      </c>
      <c r="I566" t="s">
        <v>22</v>
      </c>
      <c r="J566">
        <v>1</v>
      </c>
      <c r="K566">
        <v>3</v>
      </c>
      <c r="L566" t="s">
        <v>27</v>
      </c>
      <c r="M566">
        <v>3</v>
      </c>
      <c r="N566">
        <v>7</v>
      </c>
      <c r="O566">
        <v>6</v>
      </c>
      <c r="P566">
        <v>4</v>
      </c>
      <c r="Q566" t="s">
        <v>27</v>
      </c>
    </row>
    <row r="567" spans="1:17" x14ac:dyDescent="0.3">
      <c r="A567" t="s">
        <v>612</v>
      </c>
      <c r="B567">
        <v>40</v>
      </c>
      <c r="C567" t="s">
        <v>18</v>
      </c>
      <c r="D567" t="s">
        <v>19</v>
      </c>
      <c r="E567" t="s">
        <v>36</v>
      </c>
      <c r="F567">
        <v>8102</v>
      </c>
      <c r="G567">
        <v>2</v>
      </c>
      <c r="H567" t="s">
        <v>21</v>
      </c>
      <c r="I567" t="s">
        <v>56</v>
      </c>
      <c r="J567">
        <v>1</v>
      </c>
      <c r="K567">
        <v>4</v>
      </c>
      <c r="L567" t="s">
        <v>27</v>
      </c>
      <c r="M567">
        <v>4</v>
      </c>
      <c r="N567">
        <v>11</v>
      </c>
      <c r="O567">
        <v>1</v>
      </c>
      <c r="P567">
        <v>4</v>
      </c>
      <c r="Q567" t="s">
        <v>27</v>
      </c>
    </row>
    <row r="568" spans="1:17" x14ac:dyDescent="0.3">
      <c r="A568" t="s">
        <v>613</v>
      </c>
      <c r="B568">
        <v>34</v>
      </c>
      <c r="C568" t="s">
        <v>18</v>
      </c>
      <c r="D568" t="s">
        <v>25</v>
      </c>
      <c r="E568" t="s">
        <v>26</v>
      </c>
      <c r="F568">
        <v>9600</v>
      </c>
      <c r="G568">
        <v>4</v>
      </c>
      <c r="H568" t="s">
        <v>21</v>
      </c>
      <c r="I568" t="s">
        <v>22</v>
      </c>
      <c r="J568">
        <v>4</v>
      </c>
      <c r="K568">
        <v>3</v>
      </c>
      <c r="L568" t="s">
        <v>23</v>
      </c>
      <c r="M568">
        <v>3</v>
      </c>
      <c r="N568">
        <v>11</v>
      </c>
      <c r="O568">
        <v>2</v>
      </c>
      <c r="P568">
        <v>1</v>
      </c>
      <c r="Q568" t="s">
        <v>27</v>
      </c>
    </row>
    <row r="569" spans="1:17" x14ac:dyDescent="0.3">
      <c r="A569" t="s">
        <v>614</v>
      </c>
      <c r="B569">
        <v>39</v>
      </c>
      <c r="C569" t="s">
        <v>18</v>
      </c>
      <c r="D569" t="s">
        <v>44</v>
      </c>
      <c r="E569" t="s">
        <v>45</v>
      </c>
      <c r="F569">
        <v>9004</v>
      </c>
      <c r="G569">
        <v>5</v>
      </c>
      <c r="H569" t="s">
        <v>21</v>
      </c>
      <c r="I569" t="s">
        <v>22</v>
      </c>
      <c r="J569">
        <v>3</v>
      </c>
      <c r="K569">
        <v>1</v>
      </c>
      <c r="L569" t="s">
        <v>27</v>
      </c>
      <c r="M569">
        <v>3</v>
      </c>
      <c r="N569">
        <v>20</v>
      </c>
      <c r="O569">
        <v>4</v>
      </c>
      <c r="P569">
        <v>1</v>
      </c>
      <c r="Q569" t="s">
        <v>23</v>
      </c>
    </row>
    <row r="570" spans="1:17" x14ac:dyDescent="0.3">
      <c r="A570" t="s">
        <v>615</v>
      </c>
      <c r="B570">
        <v>46</v>
      </c>
      <c r="C570" t="s">
        <v>35</v>
      </c>
      <c r="D570" t="s">
        <v>25</v>
      </c>
      <c r="E570" t="s">
        <v>26</v>
      </c>
      <c r="F570">
        <v>8426</v>
      </c>
      <c r="G570">
        <v>3</v>
      </c>
      <c r="H570" t="s">
        <v>33</v>
      </c>
      <c r="I570" t="s">
        <v>22</v>
      </c>
      <c r="J570">
        <v>3</v>
      </c>
      <c r="K570">
        <v>1</v>
      </c>
      <c r="L570" t="s">
        <v>23</v>
      </c>
      <c r="M570">
        <v>3</v>
      </c>
      <c r="N570">
        <v>28</v>
      </c>
      <c r="O570">
        <v>5</v>
      </c>
      <c r="P570">
        <v>2</v>
      </c>
      <c r="Q570" t="s">
        <v>27</v>
      </c>
    </row>
    <row r="571" spans="1:17" x14ac:dyDescent="0.3">
      <c r="A571" t="s">
        <v>616</v>
      </c>
      <c r="B571">
        <v>34</v>
      </c>
      <c r="C571" t="s">
        <v>35</v>
      </c>
      <c r="D571" t="s">
        <v>44</v>
      </c>
      <c r="E571" t="s">
        <v>45</v>
      </c>
      <c r="F571">
        <v>12895</v>
      </c>
      <c r="G571">
        <v>13</v>
      </c>
      <c r="H571" t="s">
        <v>33</v>
      </c>
      <c r="I571" t="s">
        <v>31</v>
      </c>
      <c r="J571">
        <v>4</v>
      </c>
      <c r="K571">
        <v>4</v>
      </c>
      <c r="L571" t="s">
        <v>27</v>
      </c>
      <c r="M571">
        <v>4</v>
      </c>
      <c r="N571">
        <v>8</v>
      </c>
      <c r="O571">
        <v>5</v>
      </c>
      <c r="P571">
        <v>4</v>
      </c>
      <c r="Q571" t="s">
        <v>27</v>
      </c>
    </row>
    <row r="572" spans="1:17" x14ac:dyDescent="0.3">
      <c r="A572" t="s">
        <v>617</v>
      </c>
      <c r="B572">
        <v>35</v>
      </c>
      <c r="C572" t="s">
        <v>35</v>
      </c>
      <c r="D572" t="s">
        <v>29</v>
      </c>
      <c r="E572" t="s">
        <v>49</v>
      </c>
      <c r="F572">
        <v>10607</v>
      </c>
      <c r="G572">
        <v>12</v>
      </c>
      <c r="H572" t="s">
        <v>37</v>
      </c>
      <c r="I572" t="s">
        <v>31</v>
      </c>
      <c r="J572">
        <v>3</v>
      </c>
      <c r="K572">
        <v>3</v>
      </c>
      <c r="L572" t="s">
        <v>27</v>
      </c>
      <c r="M572">
        <v>2</v>
      </c>
      <c r="N572">
        <v>16</v>
      </c>
      <c r="O572">
        <v>3</v>
      </c>
      <c r="P572">
        <v>1</v>
      </c>
      <c r="Q572" t="s">
        <v>27</v>
      </c>
    </row>
    <row r="573" spans="1:17" x14ac:dyDescent="0.3">
      <c r="A573" t="s">
        <v>618</v>
      </c>
      <c r="B573">
        <v>27</v>
      </c>
      <c r="C573" t="s">
        <v>18</v>
      </c>
      <c r="D573" t="s">
        <v>70</v>
      </c>
      <c r="E573" t="s">
        <v>71</v>
      </c>
      <c r="F573">
        <v>10664</v>
      </c>
      <c r="G573">
        <v>5</v>
      </c>
      <c r="H573" t="s">
        <v>37</v>
      </c>
      <c r="I573" t="s">
        <v>56</v>
      </c>
      <c r="J573">
        <v>1</v>
      </c>
      <c r="K573">
        <v>4</v>
      </c>
      <c r="L573" t="s">
        <v>27</v>
      </c>
      <c r="M573">
        <v>2</v>
      </c>
      <c r="N573">
        <v>28</v>
      </c>
      <c r="O573">
        <v>5</v>
      </c>
      <c r="P573">
        <v>1</v>
      </c>
      <c r="Q573" t="s">
        <v>27</v>
      </c>
    </row>
    <row r="574" spans="1:17" x14ac:dyDescent="0.3">
      <c r="A574" t="s">
        <v>619</v>
      </c>
      <c r="B574">
        <v>27</v>
      </c>
      <c r="C574" t="s">
        <v>35</v>
      </c>
      <c r="D574" t="s">
        <v>44</v>
      </c>
      <c r="E574" t="s">
        <v>45</v>
      </c>
      <c r="F574">
        <v>7778</v>
      </c>
      <c r="G574">
        <v>2</v>
      </c>
      <c r="H574" t="s">
        <v>37</v>
      </c>
      <c r="I574" t="s">
        <v>31</v>
      </c>
      <c r="J574">
        <v>4</v>
      </c>
      <c r="K574">
        <v>1</v>
      </c>
      <c r="L574" t="s">
        <v>27</v>
      </c>
      <c r="M574">
        <v>3</v>
      </c>
      <c r="N574">
        <v>22</v>
      </c>
      <c r="O574">
        <v>6</v>
      </c>
      <c r="P574">
        <v>3</v>
      </c>
      <c r="Q574" t="s">
        <v>27</v>
      </c>
    </row>
    <row r="575" spans="1:17" x14ac:dyDescent="0.3">
      <c r="A575" t="s">
        <v>620</v>
      </c>
      <c r="B575">
        <v>39</v>
      </c>
      <c r="C575" t="s">
        <v>18</v>
      </c>
      <c r="D575" t="s">
        <v>74</v>
      </c>
      <c r="E575" t="s">
        <v>75</v>
      </c>
      <c r="F575">
        <v>11616</v>
      </c>
      <c r="G575">
        <v>6</v>
      </c>
      <c r="H575" t="s">
        <v>37</v>
      </c>
      <c r="I575" t="s">
        <v>31</v>
      </c>
      <c r="J575">
        <v>1</v>
      </c>
      <c r="K575">
        <v>1</v>
      </c>
      <c r="L575" t="s">
        <v>27</v>
      </c>
      <c r="M575">
        <v>3</v>
      </c>
      <c r="N575">
        <v>4</v>
      </c>
      <c r="O575">
        <v>0</v>
      </c>
      <c r="P575">
        <v>4</v>
      </c>
      <c r="Q575" t="s">
        <v>23</v>
      </c>
    </row>
    <row r="576" spans="1:17" x14ac:dyDescent="0.3">
      <c r="A576" t="s">
        <v>621</v>
      </c>
      <c r="B576">
        <v>26</v>
      </c>
      <c r="C576" t="s">
        <v>35</v>
      </c>
      <c r="D576" t="s">
        <v>74</v>
      </c>
      <c r="E576" t="s">
        <v>75</v>
      </c>
      <c r="F576">
        <v>9828</v>
      </c>
      <c r="G576">
        <v>1</v>
      </c>
      <c r="H576" t="s">
        <v>21</v>
      </c>
      <c r="I576" t="s">
        <v>22</v>
      </c>
      <c r="J576">
        <v>1</v>
      </c>
      <c r="K576">
        <v>4</v>
      </c>
      <c r="L576" t="s">
        <v>27</v>
      </c>
      <c r="M576">
        <v>4</v>
      </c>
      <c r="N576">
        <v>9</v>
      </c>
      <c r="O576">
        <v>2</v>
      </c>
      <c r="P576">
        <v>4</v>
      </c>
      <c r="Q576" t="s">
        <v>27</v>
      </c>
    </row>
    <row r="577" spans="1:17" x14ac:dyDescent="0.3">
      <c r="A577" t="s">
        <v>622</v>
      </c>
      <c r="B577">
        <v>49</v>
      </c>
      <c r="C577" t="s">
        <v>35</v>
      </c>
      <c r="D577" t="s">
        <v>19</v>
      </c>
      <c r="E577" t="s">
        <v>36</v>
      </c>
      <c r="F577">
        <v>5991</v>
      </c>
      <c r="G577">
        <v>1</v>
      </c>
      <c r="H577" t="s">
        <v>37</v>
      </c>
      <c r="I577" t="s">
        <v>31</v>
      </c>
      <c r="J577">
        <v>1</v>
      </c>
      <c r="K577">
        <v>1</v>
      </c>
      <c r="L577" t="s">
        <v>27</v>
      </c>
      <c r="M577">
        <v>3</v>
      </c>
      <c r="N577">
        <v>18</v>
      </c>
      <c r="O577">
        <v>3</v>
      </c>
      <c r="P577">
        <v>3</v>
      </c>
      <c r="Q577" t="s">
        <v>23</v>
      </c>
    </row>
    <row r="578" spans="1:17" x14ac:dyDescent="0.3">
      <c r="A578" t="s">
        <v>623</v>
      </c>
      <c r="B578">
        <v>43</v>
      </c>
      <c r="C578" t="s">
        <v>18</v>
      </c>
      <c r="D578" t="s">
        <v>29</v>
      </c>
      <c r="E578" t="s">
        <v>49</v>
      </c>
      <c r="F578">
        <v>5071</v>
      </c>
      <c r="G578">
        <v>4</v>
      </c>
      <c r="H578" t="s">
        <v>37</v>
      </c>
      <c r="I578" t="s">
        <v>31</v>
      </c>
      <c r="J578">
        <v>3</v>
      </c>
      <c r="K578">
        <v>1</v>
      </c>
      <c r="L578" t="s">
        <v>23</v>
      </c>
      <c r="M578">
        <v>3</v>
      </c>
      <c r="N578">
        <v>18</v>
      </c>
      <c r="O578">
        <v>0</v>
      </c>
      <c r="P578">
        <v>2</v>
      </c>
      <c r="Q578" t="s">
        <v>27</v>
      </c>
    </row>
    <row r="579" spans="1:17" x14ac:dyDescent="0.3">
      <c r="A579" t="s">
        <v>624</v>
      </c>
      <c r="B579">
        <v>18</v>
      </c>
      <c r="C579" t="s">
        <v>35</v>
      </c>
      <c r="D579" t="s">
        <v>44</v>
      </c>
      <c r="E579" t="s">
        <v>45</v>
      </c>
      <c r="F579">
        <v>4353</v>
      </c>
      <c r="G579">
        <v>0</v>
      </c>
      <c r="H579" t="s">
        <v>21</v>
      </c>
      <c r="I579" t="s">
        <v>31</v>
      </c>
      <c r="J579">
        <v>4</v>
      </c>
      <c r="K579">
        <v>2</v>
      </c>
      <c r="L579" t="s">
        <v>27</v>
      </c>
      <c r="M579">
        <v>1</v>
      </c>
      <c r="N579">
        <v>21</v>
      </c>
      <c r="O579">
        <v>6</v>
      </c>
      <c r="P579">
        <v>3</v>
      </c>
      <c r="Q579" t="s">
        <v>27</v>
      </c>
    </row>
    <row r="580" spans="1:17" x14ac:dyDescent="0.3">
      <c r="A580" t="s">
        <v>625</v>
      </c>
      <c r="B580">
        <v>40</v>
      </c>
      <c r="C580" t="s">
        <v>35</v>
      </c>
      <c r="D580" t="s">
        <v>29</v>
      </c>
      <c r="E580" t="s">
        <v>49</v>
      </c>
      <c r="F580">
        <v>4878</v>
      </c>
      <c r="G580">
        <v>0</v>
      </c>
      <c r="H580" t="s">
        <v>37</v>
      </c>
      <c r="I580" t="s">
        <v>31</v>
      </c>
      <c r="J580">
        <v>4</v>
      </c>
      <c r="K580">
        <v>3</v>
      </c>
      <c r="L580" t="s">
        <v>27</v>
      </c>
      <c r="M580">
        <v>2</v>
      </c>
      <c r="N580">
        <v>22</v>
      </c>
      <c r="O580">
        <v>1</v>
      </c>
      <c r="P580">
        <v>3</v>
      </c>
      <c r="Q580" t="s">
        <v>27</v>
      </c>
    </row>
    <row r="581" spans="1:17" x14ac:dyDescent="0.3">
      <c r="A581" t="s">
        <v>626</v>
      </c>
      <c r="B581">
        <v>18</v>
      </c>
      <c r="C581" t="s">
        <v>18</v>
      </c>
      <c r="D581" t="s">
        <v>74</v>
      </c>
      <c r="E581" t="s">
        <v>75</v>
      </c>
      <c r="F581">
        <v>6230</v>
      </c>
      <c r="G581">
        <v>0</v>
      </c>
      <c r="H581" t="s">
        <v>21</v>
      </c>
      <c r="I581" t="s">
        <v>22</v>
      </c>
      <c r="J581">
        <v>1</v>
      </c>
      <c r="K581">
        <v>4</v>
      </c>
      <c r="L581" t="s">
        <v>23</v>
      </c>
      <c r="M581">
        <v>2</v>
      </c>
      <c r="N581">
        <v>26</v>
      </c>
      <c r="O581">
        <v>6</v>
      </c>
      <c r="P581">
        <v>4</v>
      </c>
      <c r="Q581" t="s">
        <v>23</v>
      </c>
    </row>
    <row r="582" spans="1:17" x14ac:dyDescent="0.3">
      <c r="A582" t="s">
        <v>627</v>
      </c>
      <c r="B582">
        <v>23</v>
      </c>
      <c r="C582" t="s">
        <v>35</v>
      </c>
      <c r="D582" t="s">
        <v>44</v>
      </c>
      <c r="E582" t="s">
        <v>45</v>
      </c>
      <c r="F582">
        <v>4032</v>
      </c>
      <c r="G582">
        <v>0</v>
      </c>
      <c r="H582" t="s">
        <v>21</v>
      </c>
      <c r="I582" t="s">
        <v>31</v>
      </c>
      <c r="J582">
        <v>4</v>
      </c>
      <c r="K582">
        <v>4</v>
      </c>
      <c r="L582" t="s">
        <v>23</v>
      </c>
      <c r="M582">
        <v>4</v>
      </c>
      <c r="N582">
        <v>3</v>
      </c>
      <c r="O582">
        <v>0</v>
      </c>
      <c r="P582">
        <v>2</v>
      </c>
      <c r="Q582" t="s">
        <v>27</v>
      </c>
    </row>
    <row r="583" spans="1:17" x14ac:dyDescent="0.3">
      <c r="A583" t="s">
        <v>628</v>
      </c>
      <c r="B583">
        <v>33</v>
      </c>
      <c r="C583" t="s">
        <v>35</v>
      </c>
      <c r="D583" t="s">
        <v>70</v>
      </c>
      <c r="E583" t="s">
        <v>71</v>
      </c>
      <c r="F583">
        <v>6662</v>
      </c>
      <c r="G583">
        <v>3</v>
      </c>
      <c r="H583" t="s">
        <v>37</v>
      </c>
      <c r="I583" t="s">
        <v>22</v>
      </c>
      <c r="J583">
        <v>4</v>
      </c>
      <c r="K583">
        <v>3</v>
      </c>
      <c r="L583" t="s">
        <v>23</v>
      </c>
      <c r="M583">
        <v>3</v>
      </c>
      <c r="N583">
        <v>16</v>
      </c>
      <c r="O583">
        <v>6</v>
      </c>
      <c r="P583">
        <v>3</v>
      </c>
      <c r="Q583" t="s">
        <v>27</v>
      </c>
    </row>
    <row r="584" spans="1:17" x14ac:dyDescent="0.3">
      <c r="A584" t="s">
        <v>629</v>
      </c>
      <c r="B584">
        <v>30</v>
      </c>
      <c r="C584" t="s">
        <v>35</v>
      </c>
      <c r="D584" t="s">
        <v>29</v>
      </c>
      <c r="E584" t="s">
        <v>30</v>
      </c>
      <c r="F584">
        <v>5358</v>
      </c>
      <c r="G584">
        <v>9</v>
      </c>
      <c r="H584" t="s">
        <v>37</v>
      </c>
      <c r="I584" t="s">
        <v>31</v>
      </c>
      <c r="J584">
        <v>1</v>
      </c>
      <c r="K584">
        <v>2</v>
      </c>
      <c r="L584" t="s">
        <v>27</v>
      </c>
      <c r="M584">
        <v>3</v>
      </c>
      <c r="N584">
        <v>20</v>
      </c>
      <c r="O584">
        <v>2</v>
      </c>
      <c r="P584">
        <v>2</v>
      </c>
      <c r="Q584" t="s">
        <v>27</v>
      </c>
    </row>
    <row r="585" spans="1:17" x14ac:dyDescent="0.3">
      <c r="A585" t="s">
        <v>630</v>
      </c>
      <c r="B585">
        <v>36</v>
      </c>
      <c r="C585" t="s">
        <v>35</v>
      </c>
      <c r="D585" t="s">
        <v>25</v>
      </c>
      <c r="E585" t="s">
        <v>20</v>
      </c>
      <c r="F585">
        <v>11245</v>
      </c>
      <c r="G585">
        <v>2</v>
      </c>
      <c r="H585" t="s">
        <v>37</v>
      </c>
      <c r="I585" t="s">
        <v>31</v>
      </c>
      <c r="J585">
        <v>3</v>
      </c>
      <c r="K585">
        <v>4</v>
      </c>
      <c r="L585" t="s">
        <v>27</v>
      </c>
      <c r="M585">
        <v>3</v>
      </c>
      <c r="N585">
        <v>3</v>
      </c>
      <c r="O585">
        <v>6</v>
      </c>
      <c r="P585">
        <v>1</v>
      </c>
      <c r="Q585" t="s">
        <v>27</v>
      </c>
    </row>
    <row r="586" spans="1:17" x14ac:dyDescent="0.3">
      <c r="A586" t="s">
        <v>631</v>
      </c>
      <c r="B586">
        <v>48</v>
      </c>
      <c r="C586" t="s">
        <v>35</v>
      </c>
      <c r="D586" t="s">
        <v>25</v>
      </c>
      <c r="E586" t="s">
        <v>26</v>
      </c>
      <c r="F586">
        <v>7284</v>
      </c>
      <c r="G586">
        <v>6</v>
      </c>
      <c r="H586" t="s">
        <v>21</v>
      </c>
      <c r="I586" t="s">
        <v>22</v>
      </c>
      <c r="J586">
        <v>4</v>
      </c>
      <c r="K586">
        <v>2</v>
      </c>
      <c r="L586" t="s">
        <v>23</v>
      </c>
      <c r="M586">
        <v>4</v>
      </c>
      <c r="N586">
        <v>4</v>
      </c>
      <c r="O586">
        <v>2</v>
      </c>
      <c r="P586">
        <v>1</v>
      </c>
      <c r="Q586" t="s">
        <v>23</v>
      </c>
    </row>
    <row r="587" spans="1:17" x14ac:dyDescent="0.3">
      <c r="A587" t="s">
        <v>632</v>
      </c>
      <c r="B587">
        <v>20</v>
      </c>
      <c r="C587" t="s">
        <v>18</v>
      </c>
      <c r="D587" t="s">
        <v>74</v>
      </c>
      <c r="E587" t="s">
        <v>99</v>
      </c>
      <c r="F587">
        <v>8761</v>
      </c>
      <c r="G587">
        <v>1</v>
      </c>
      <c r="H587" t="s">
        <v>21</v>
      </c>
      <c r="I587" t="s">
        <v>56</v>
      </c>
      <c r="J587">
        <v>3</v>
      </c>
      <c r="K587">
        <v>3</v>
      </c>
      <c r="L587" t="s">
        <v>27</v>
      </c>
      <c r="M587">
        <v>3</v>
      </c>
      <c r="N587">
        <v>6</v>
      </c>
      <c r="O587">
        <v>6</v>
      </c>
      <c r="P587">
        <v>4</v>
      </c>
      <c r="Q587" t="s">
        <v>23</v>
      </c>
    </row>
    <row r="588" spans="1:17" x14ac:dyDescent="0.3">
      <c r="A588" t="s">
        <v>633</v>
      </c>
      <c r="B588">
        <v>36</v>
      </c>
      <c r="C588" t="s">
        <v>18</v>
      </c>
      <c r="D588" t="s">
        <v>25</v>
      </c>
      <c r="E588" t="s">
        <v>26</v>
      </c>
      <c r="F588">
        <v>7420</v>
      </c>
      <c r="G588">
        <v>6</v>
      </c>
      <c r="H588" t="s">
        <v>21</v>
      </c>
      <c r="I588" t="s">
        <v>31</v>
      </c>
      <c r="J588">
        <v>3</v>
      </c>
      <c r="K588">
        <v>3</v>
      </c>
      <c r="L588" t="s">
        <v>23</v>
      </c>
      <c r="M588">
        <v>4</v>
      </c>
      <c r="N588">
        <v>7</v>
      </c>
      <c r="O588">
        <v>1</v>
      </c>
      <c r="P588">
        <v>3</v>
      </c>
      <c r="Q588" t="s">
        <v>27</v>
      </c>
    </row>
    <row r="589" spans="1:17" x14ac:dyDescent="0.3">
      <c r="A589" t="s">
        <v>634</v>
      </c>
      <c r="B589">
        <v>31</v>
      </c>
      <c r="C589" t="s">
        <v>35</v>
      </c>
      <c r="D589" t="s">
        <v>70</v>
      </c>
      <c r="E589" t="s">
        <v>144</v>
      </c>
      <c r="F589">
        <v>7835</v>
      </c>
      <c r="G589">
        <v>0</v>
      </c>
      <c r="H589" t="s">
        <v>21</v>
      </c>
      <c r="I589" t="s">
        <v>56</v>
      </c>
      <c r="J589">
        <v>4</v>
      </c>
      <c r="K589">
        <v>4</v>
      </c>
      <c r="L589" t="s">
        <v>27</v>
      </c>
      <c r="M589">
        <v>1</v>
      </c>
      <c r="N589">
        <v>29</v>
      </c>
      <c r="O589">
        <v>5</v>
      </c>
      <c r="P589">
        <v>2</v>
      </c>
      <c r="Q589" t="s">
        <v>27</v>
      </c>
    </row>
    <row r="590" spans="1:17" x14ac:dyDescent="0.3">
      <c r="A590" t="s">
        <v>635</v>
      </c>
      <c r="B590">
        <v>34</v>
      </c>
      <c r="C590" t="s">
        <v>35</v>
      </c>
      <c r="D590" t="s">
        <v>70</v>
      </c>
      <c r="E590" t="s">
        <v>71</v>
      </c>
      <c r="F590">
        <v>8139</v>
      </c>
      <c r="G590">
        <v>0</v>
      </c>
      <c r="H590" t="s">
        <v>21</v>
      </c>
      <c r="I590" t="s">
        <v>22</v>
      </c>
      <c r="J590">
        <v>1</v>
      </c>
      <c r="K590">
        <v>1</v>
      </c>
      <c r="L590" t="s">
        <v>27</v>
      </c>
      <c r="M590">
        <v>3</v>
      </c>
      <c r="N590">
        <v>15</v>
      </c>
      <c r="O590">
        <v>5</v>
      </c>
      <c r="P590">
        <v>3</v>
      </c>
      <c r="Q590" t="s">
        <v>27</v>
      </c>
    </row>
    <row r="591" spans="1:17" x14ac:dyDescent="0.3">
      <c r="A591" t="s">
        <v>636</v>
      </c>
      <c r="B591">
        <v>32</v>
      </c>
      <c r="C591" t="s">
        <v>18</v>
      </c>
      <c r="D591" t="s">
        <v>19</v>
      </c>
      <c r="E591" t="s">
        <v>36</v>
      </c>
      <c r="F591">
        <v>12290</v>
      </c>
      <c r="G591">
        <v>7</v>
      </c>
      <c r="H591" t="s">
        <v>37</v>
      </c>
      <c r="I591" t="s">
        <v>22</v>
      </c>
      <c r="J591">
        <v>1</v>
      </c>
      <c r="K591">
        <v>3</v>
      </c>
      <c r="L591" t="s">
        <v>27</v>
      </c>
      <c r="M591">
        <v>2</v>
      </c>
      <c r="N591">
        <v>12</v>
      </c>
      <c r="O591">
        <v>2</v>
      </c>
      <c r="P591">
        <v>2</v>
      </c>
      <c r="Q591" t="s">
        <v>27</v>
      </c>
    </row>
    <row r="592" spans="1:17" x14ac:dyDescent="0.3">
      <c r="A592" t="s">
        <v>637</v>
      </c>
      <c r="B592">
        <v>36</v>
      </c>
      <c r="C592" t="s">
        <v>18</v>
      </c>
      <c r="D592" t="s">
        <v>19</v>
      </c>
      <c r="E592" t="s">
        <v>20</v>
      </c>
      <c r="F592">
        <v>12258</v>
      </c>
      <c r="G592">
        <v>5</v>
      </c>
      <c r="H592" t="s">
        <v>21</v>
      </c>
      <c r="I592" t="s">
        <v>22</v>
      </c>
      <c r="J592">
        <v>1</v>
      </c>
      <c r="K592">
        <v>1</v>
      </c>
      <c r="L592" t="s">
        <v>27</v>
      </c>
      <c r="M592">
        <v>3</v>
      </c>
      <c r="N592">
        <v>24</v>
      </c>
      <c r="O592">
        <v>3</v>
      </c>
      <c r="P592">
        <v>4</v>
      </c>
      <c r="Q592" t="s">
        <v>27</v>
      </c>
    </row>
    <row r="593" spans="1:17" x14ac:dyDescent="0.3">
      <c r="A593" t="s">
        <v>638</v>
      </c>
      <c r="B593">
        <v>24</v>
      </c>
      <c r="C593" t="s">
        <v>35</v>
      </c>
      <c r="D593" t="s">
        <v>74</v>
      </c>
      <c r="E593" t="s">
        <v>75</v>
      </c>
      <c r="F593">
        <v>9844</v>
      </c>
      <c r="G593">
        <v>5</v>
      </c>
      <c r="H593" t="s">
        <v>21</v>
      </c>
      <c r="I593" t="s">
        <v>31</v>
      </c>
      <c r="J593">
        <v>3</v>
      </c>
      <c r="K593">
        <v>4</v>
      </c>
      <c r="L593" t="s">
        <v>27</v>
      </c>
      <c r="M593">
        <v>3</v>
      </c>
      <c r="N593">
        <v>10</v>
      </c>
      <c r="O593">
        <v>3</v>
      </c>
      <c r="P593">
        <v>1</v>
      </c>
      <c r="Q593" t="s">
        <v>27</v>
      </c>
    </row>
    <row r="594" spans="1:17" x14ac:dyDescent="0.3">
      <c r="A594" t="s">
        <v>639</v>
      </c>
      <c r="B594">
        <v>43</v>
      </c>
      <c r="C594" t="s">
        <v>35</v>
      </c>
      <c r="D594" t="s">
        <v>19</v>
      </c>
      <c r="E594" t="s">
        <v>40</v>
      </c>
      <c r="F594">
        <v>6330</v>
      </c>
      <c r="G594">
        <v>1</v>
      </c>
      <c r="H594" t="s">
        <v>21</v>
      </c>
      <c r="I594" t="s">
        <v>22</v>
      </c>
      <c r="J594">
        <v>4</v>
      </c>
      <c r="K594">
        <v>3</v>
      </c>
      <c r="L594" t="s">
        <v>27</v>
      </c>
      <c r="M594">
        <v>3</v>
      </c>
      <c r="N594">
        <v>18</v>
      </c>
      <c r="O594">
        <v>2</v>
      </c>
      <c r="P594">
        <v>2</v>
      </c>
      <c r="Q594" t="s">
        <v>27</v>
      </c>
    </row>
    <row r="595" spans="1:17" x14ac:dyDescent="0.3">
      <c r="A595" t="s">
        <v>640</v>
      </c>
      <c r="B595">
        <v>35</v>
      </c>
      <c r="C595" t="s">
        <v>35</v>
      </c>
      <c r="D595" t="s">
        <v>19</v>
      </c>
      <c r="E595" t="s">
        <v>20</v>
      </c>
      <c r="F595">
        <v>18568</v>
      </c>
      <c r="G595">
        <v>17</v>
      </c>
      <c r="H595" t="s">
        <v>46</v>
      </c>
      <c r="I595" t="s">
        <v>56</v>
      </c>
      <c r="J595">
        <v>4</v>
      </c>
      <c r="K595">
        <v>2</v>
      </c>
      <c r="L595" t="s">
        <v>23</v>
      </c>
      <c r="M595">
        <v>3</v>
      </c>
      <c r="N595">
        <v>28</v>
      </c>
      <c r="O595">
        <v>0</v>
      </c>
      <c r="P595">
        <v>2</v>
      </c>
      <c r="Q595" t="s">
        <v>27</v>
      </c>
    </row>
    <row r="596" spans="1:17" x14ac:dyDescent="0.3">
      <c r="A596" t="s">
        <v>641</v>
      </c>
      <c r="B596">
        <v>41</v>
      </c>
      <c r="C596" t="s">
        <v>18</v>
      </c>
      <c r="D596" t="s">
        <v>25</v>
      </c>
      <c r="E596" t="s">
        <v>26</v>
      </c>
      <c r="F596">
        <v>8523</v>
      </c>
      <c r="G596">
        <v>2</v>
      </c>
      <c r="H596" t="s">
        <v>33</v>
      </c>
      <c r="I596" t="s">
        <v>22</v>
      </c>
      <c r="J596">
        <v>2</v>
      </c>
      <c r="K596">
        <v>4</v>
      </c>
      <c r="L596" t="s">
        <v>23</v>
      </c>
      <c r="M596">
        <v>3</v>
      </c>
      <c r="N596">
        <v>28</v>
      </c>
      <c r="O596">
        <v>6</v>
      </c>
      <c r="P596">
        <v>3</v>
      </c>
      <c r="Q596" t="s">
        <v>23</v>
      </c>
    </row>
    <row r="597" spans="1:17" x14ac:dyDescent="0.3">
      <c r="A597" t="s">
        <v>642</v>
      </c>
      <c r="B597">
        <v>18</v>
      </c>
      <c r="C597" t="s">
        <v>35</v>
      </c>
      <c r="D597" t="s">
        <v>44</v>
      </c>
      <c r="E597" t="s">
        <v>45</v>
      </c>
      <c r="F597">
        <v>6076</v>
      </c>
      <c r="G597">
        <v>0</v>
      </c>
      <c r="H597" t="s">
        <v>37</v>
      </c>
      <c r="I597" t="s">
        <v>31</v>
      </c>
      <c r="J597">
        <v>2</v>
      </c>
      <c r="K597">
        <v>3</v>
      </c>
      <c r="L597" t="s">
        <v>27</v>
      </c>
      <c r="M597">
        <v>3</v>
      </c>
      <c r="N597">
        <v>26</v>
      </c>
      <c r="O597">
        <v>1</v>
      </c>
      <c r="P597">
        <v>1</v>
      </c>
      <c r="Q597" t="s">
        <v>27</v>
      </c>
    </row>
    <row r="598" spans="1:17" x14ac:dyDescent="0.3">
      <c r="A598" t="s">
        <v>643</v>
      </c>
      <c r="B598">
        <v>18</v>
      </c>
      <c r="C598" t="s">
        <v>18</v>
      </c>
      <c r="D598" t="s">
        <v>70</v>
      </c>
      <c r="E598" t="s">
        <v>71</v>
      </c>
      <c r="F598">
        <v>6233</v>
      </c>
      <c r="G598">
        <v>0</v>
      </c>
      <c r="H598" t="s">
        <v>46</v>
      </c>
      <c r="I598" t="s">
        <v>56</v>
      </c>
      <c r="J598">
        <v>1</v>
      </c>
      <c r="K598">
        <v>2</v>
      </c>
      <c r="L598" t="s">
        <v>23</v>
      </c>
      <c r="M598">
        <v>3</v>
      </c>
      <c r="N598">
        <v>16</v>
      </c>
      <c r="O598">
        <v>2</v>
      </c>
      <c r="P598">
        <v>1</v>
      </c>
      <c r="Q598" t="s">
        <v>27</v>
      </c>
    </row>
    <row r="599" spans="1:17" x14ac:dyDescent="0.3">
      <c r="A599" t="s">
        <v>644</v>
      </c>
      <c r="B599">
        <v>36</v>
      </c>
      <c r="C599" t="s">
        <v>18</v>
      </c>
      <c r="D599" t="s">
        <v>74</v>
      </c>
      <c r="E599" t="s">
        <v>75</v>
      </c>
      <c r="F599">
        <v>7966</v>
      </c>
      <c r="G599">
        <v>3</v>
      </c>
      <c r="H599" t="s">
        <v>33</v>
      </c>
      <c r="I599" t="s">
        <v>31</v>
      </c>
      <c r="J599">
        <v>1</v>
      </c>
      <c r="K599">
        <v>3</v>
      </c>
      <c r="L599" t="s">
        <v>23</v>
      </c>
      <c r="M599">
        <v>2</v>
      </c>
      <c r="N599">
        <v>30</v>
      </c>
      <c r="O599">
        <v>6</v>
      </c>
      <c r="P599">
        <v>1</v>
      </c>
      <c r="Q599" t="s">
        <v>27</v>
      </c>
    </row>
    <row r="600" spans="1:17" x14ac:dyDescent="0.3">
      <c r="A600" t="s">
        <v>645</v>
      </c>
      <c r="B600">
        <v>23</v>
      </c>
      <c r="C600" t="s">
        <v>18</v>
      </c>
      <c r="D600" t="s">
        <v>25</v>
      </c>
      <c r="E600" t="s">
        <v>61</v>
      </c>
      <c r="F600">
        <v>8639</v>
      </c>
      <c r="G600">
        <v>3</v>
      </c>
      <c r="H600" t="s">
        <v>37</v>
      </c>
      <c r="I600" t="s">
        <v>22</v>
      </c>
      <c r="J600">
        <v>2</v>
      </c>
      <c r="K600">
        <v>2</v>
      </c>
      <c r="L600" t="s">
        <v>27</v>
      </c>
      <c r="M600">
        <v>3</v>
      </c>
      <c r="N600">
        <v>16</v>
      </c>
      <c r="O600">
        <v>5</v>
      </c>
      <c r="P600">
        <v>3</v>
      </c>
      <c r="Q600" t="s">
        <v>23</v>
      </c>
    </row>
    <row r="601" spans="1:17" x14ac:dyDescent="0.3">
      <c r="A601" t="s">
        <v>646</v>
      </c>
      <c r="B601">
        <v>34</v>
      </c>
      <c r="C601" t="s">
        <v>35</v>
      </c>
      <c r="D601" t="s">
        <v>74</v>
      </c>
      <c r="E601" t="s">
        <v>75</v>
      </c>
      <c r="F601">
        <v>4635</v>
      </c>
      <c r="G601">
        <v>1</v>
      </c>
      <c r="H601" t="s">
        <v>33</v>
      </c>
      <c r="I601" t="s">
        <v>56</v>
      </c>
      <c r="J601">
        <v>1</v>
      </c>
      <c r="K601">
        <v>1</v>
      </c>
      <c r="L601" t="s">
        <v>23</v>
      </c>
      <c r="M601">
        <v>3</v>
      </c>
      <c r="N601">
        <v>25</v>
      </c>
      <c r="O601">
        <v>6</v>
      </c>
      <c r="P601">
        <v>4</v>
      </c>
      <c r="Q601" t="s">
        <v>23</v>
      </c>
    </row>
    <row r="602" spans="1:17" x14ac:dyDescent="0.3">
      <c r="A602" t="s">
        <v>647</v>
      </c>
      <c r="B602">
        <v>36</v>
      </c>
      <c r="C602" t="s">
        <v>18</v>
      </c>
      <c r="D602" t="s">
        <v>25</v>
      </c>
      <c r="E602" t="s">
        <v>61</v>
      </c>
      <c r="F602">
        <v>7549</v>
      </c>
      <c r="G602">
        <v>2</v>
      </c>
      <c r="H602" t="s">
        <v>37</v>
      </c>
      <c r="I602" t="s">
        <v>31</v>
      </c>
      <c r="J602">
        <v>4</v>
      </c>
      <c r="K602">
        <v>2</v>
      </c>
      <c r="L602" t="s">
        <v>23</v>
      </c>
      <c r="M602">
        <v>3</v>
      </c>
      <c r="N602">
        <v>9</v>
      </c>
      <c r="O602">
        <v>4</v>
      </c>
      <c r="P602">
        <v>2</v>
      </c>
      <c r="Q602" t="s">
        <v>27</v>
      </c>
    </row>
    <row r="603" spans="1:17" x14ac:dyDescent="0.3">
      <c r="A603" t="s">
        <v>648</v>
      </c>
      <c r="B603">
        <v>37</v>
      </c>
      <c r="C603" t="s">
        <v>35</v>
      </c>
      <c r="D603" t="s">
        <v>70</v>
      </c>
      <c r="E603" t="s">
        <v>71</v>
      </c>
      <c r="F603">
        <v>6537</v>
      </c>
      <c r="G603">
        <v>1</v>
      </c>
      <c r="H603" t="s">
        <v>37</v>
      </c>
      <c r="I603" t="s">
        <v>31</v>
      </c>
      <c r="J603">
        <v>1</v>
      </c>
      <c r="K603">
        <v>3</v>
      </c>
      <c r="L603" t="s">
        <v>27</v>
      </c>
      <c r="M603">
        <v>3</v>
      </c>
      <c r="N603">
        <v>8</v>
      </c>
      <c r="O603">
        <v>2</v>
      </c>
      <c r="P603">
        <v>4</v>
      </c>
      <c r="Q603" t="s">
        <v>23</v>
      </c>
    </row>
    <row r="604" spans="1:17" x14ac:dyDescent="0.3">
      <c r="A604" t="s">
        <v>649</v>
      </c>
      <c r="B604">
        <v>32</v>
      </c>
      <c r="C604" t="s">
        <v>35</v>
      </c>
      <c r="D604" t="s">
        <v>19</v>
      </c>
      <c r="E604" t="s">
        <v>40</v>
      </c>
      <c r="F604">
        <v>6020</v>
      </c>
      <c r="G604">
        <v>3</v>
      </c>
      <c r="H604" t="s">
        <v>21</v>
      </c>
      <c r="I604" t="s">
        <v>31</v>
      </c>
      <c r="J604">
        <v>3</v>
      </c>
      <c r="K604">
        <v>2</v>
      </c>
      <c r="L604" t="s">
        <v>27</v>
      </c>
      <c r="M604">
        <v>1</v>
      </c>
      <c r="N604">
        <v>19</v>
      </c>
      <c r="O604">
        <v>5</v>
      </c>
      <c r="P604">
        <v>3</v>
      </c>
      <c r="Q604" t="s">
        <v>27</v>
      </c>
    </row>
    <row r="605" spans="1:17" x14ac:dyDescent="0.3">
      <c r="A605" t="s">
        <v>650</v>
      </c>
      <c r="B605">
        <v>22</v>
      </c>
      <c r="C605" t="s">
        <v>35</v>
      </c>
      <c r="D605" t="s">
        <v>29</v>
      </c>
      <c r="E605" t="s">
        <v>49</v>
      </c>
      <c r="F605">
        <v>8573</v>
      </c>
      <c r="G605">
        <v>1</v>
      </c>
      <c r="H605" t="s">
        <v>37</v>
      </c>
      <c r="I605" t="s">
        <v>56</v>
      </c>
      <c r="J605">
        <v>3</v>
      </c>
      <c r="K605">
        <v>3</v>
      </c>
      <c r="L605" t="s">
        <v>23</v>
      </c>
      <c r="M605">
        <v>2</v>
      </c>
      <c r="N605">
        <v>23</v>
      </c>
      <c r="O605">
        <v>0</v>
      </c>
      <c r="P605">
        <v>3</v>
      </c>
      <c r="Q605" t="s">
        <v>23</v>
      </c>
    </row>
    <row r="606" spans="1:17" x14ac:dyDescent="0.3">
      <c r="A606" t="s">
        <v>651</v>
      </c>
      <c r="B606">
        <v>24</v>
      </c>
      <c r="C606" t="s">
        <v>18</v>
      </c>
      <c r="D606" t="s">
        <v>29</v>
      </c>
      <c r="E606" t="s">
        <v>49</v>
      </c>
      <c r="F606">
        <v>4329</v>
      </c>
      <c r="G606">
        <v>0</v>
      </c>
      <c r="H606" t="s">
        <v>37</v>
      </c>
      <c r="I606" t="s">
        <v>31</v>
      </c>
      <c r="J606">
        <v>2</v>
      </c>
      <c r="K606">
        <v>1</v>
      </c>
      <c r="L606" t="s">
        <v>27</v>
      </c>
      <c r="M606">
        <v>2</v>
      </c>
      <c r="N606">
        <v>26</v>
      </c>
      <c r="O606">
        <v>0</v>
      </c>
      <c r="P606">
        <v>2</v>
      </c>
      <c r="Q606" t="s">
        <v>27</v>
      </c>
    </row>
    <row r="607" spans="1:17" x14ac:dyDescent="0.3">
      <c r="A607" t="s">
        <v>652</v>
      </c>
      <c r="B607">
        <v>32</v>
      </c>
      <c r="C607" t="s">
        <v>18</v>
      </c>
      <c r="D607" t="s">
        <v>29</v>
      </c>
      <c r="E607" t="s">
        <v>30</v>
      </c>
      <c r="F607">
        <v>7998</v>
      </c>
      <c r="G607">
        <v>7</v>
      </c>
      <c r="H607" t="s">
        <v>33</v>
      </c>
      <c r="I607" t="s">
        <v>56</v>
      </c>
      <c r="J607">
        <v>1</v>
      </c>
      <c r="K607">
        <v>4</v>
      </c>
      <c r="L607" t="s">
        <v>27</v>
      </c>
      <c r="M607">
        <v>3</v>
      </c>
      <c r="N607">
        <v>7</v>
      </c>
      <c r="O607">
        <v>1</v>
      </c>
      <c r="P607">
        <v>4</v>
      </c>
      <c r="Q607" t="s">
        <v>27</v>
      </c>
    </row>
    <row r="608" spans="1:17" x14ac:dyDescent="0.3">
      <c r="A608" t="s">
        <v>653</v>
      </c>
      <c r="B608">
        <v>36</v>
      </c>
      <c r="C608" t="s">
        <v>35</v>
      </c>
      <c r="D608" t="s">
        <v>74</v>
      </c>
      <c r="E608" t="s">
        <v>75</v>
      </c>
      <c r="F608">
        <v>13405</v>
      </c>
      <c r="G608">
        <v>18</v>
      </c>
      <c r="H608" t="s">
        <v>37</v>
      </c>
      <c r="I608" t="s">
        <v>31</v>
      </c>
      <c r="J608">
        <v>1</v>
      </c>
      <c r="K608">
        <v>2</v>
      </c>
      <c r="L608" t="s">
        <v>27</v>
      </c>
      <c r="M608">
        <v>3</v>
      </c>
      <c r="N608">
        <v>2</v>
      </c>
      <c r="O608">
        <v>6</v>
      </c>
      <c r="P608">
        <v>1</v>
      </c>
      <c r="Q608" t="s">
        <v>27</v>
      </c>
    </row>
    <row r="609" spans="1:17" x14ac:dyDescent="0.3">
      <c r="A609" t="s">
        <v>654</v>
      </c>
      <c r="B609">
        <v>36</v>
      </c>
      <c r="C609" t="s">
        <v>18</v>
      </c>
      <c r="D609" t="s">
        <v>44</v>
      </c>
      <c r="E609" t="s">
        <v>54</v>
      </c>
      <c r="F609">
        <v>3431</v>
      </c>
      <c r="G609">
        <v>1</v>
      </c>
      <c r="H609" t="s">
        <v>46</v>
      </c>
      <c r="I609" t="s">
        <v>22</v>
      </c>
      <c r="J609">
        <v>4</v>
      </c>
      <c r="K609">
        <v>2</v>
      </c>
      <c r="L609" t="s">
        <v>27</v>
      </c>
      <c r="M609">
        <v>3</v>
      </c>
      <c r="N609">
        <v>30</v>
      </c>
      <c r="O609">
        <v>4</v>
      </c>
      <c r="P609">
        <v>2</v>
      </c>
      <c r="Q609" t="s">
        <v>27</v>
      </c>
    </row>
    <row r="610" spans="1:17" x14ac:dyDescent="0.3">
      <c r="A610" t="s">
        <v>655</v>
      </c>
      <c r="B610">
        <v>49</v>
      </c>
      <c r="C610" t="s">
        <v>18</v>
      </c>
      <c r="D610" t="s">
        <v>70</v>
      </c>
      <c r="E610" t="s">
        <v>144</v>
      </c>
      <c r="F610">
        <v>6530</v>
      </c>
      <c r="G610">
        <v>2</v>
      </c>
      <c r="H610" t="s">
        <v>37</v>
      </c>
      <c r="I610" t="s">
        <v>22</v>
      </c>
      <c r="J610">
        <v>1</v>
      </c>
      <c r="K610">
        <v>1</v>
      </c>
      <c r="L610" t="s">
        <v>23</v>
      </c>
      <c r="M610">
        <v>3</v>
      </c>
      <c r="N610">
        <v>23</v>
      </c>
      <c r="O610">
        <v>3</v>
      </c>
      <c r="P610">
        <v>4</v>
      </c>
      <c r="Q610" t="s">
        <v>27</v>
      </c>
    </row>
    <row r="611" spans="1:17" x14ac:dyDescent="0.3">
      <c r="A611" t="s">
        <v>656</v>
      </c>
      <c r="B611">
        <v>32</v>
      </c>
      <c r="C611" t="s">
        <v>18</v>
      </c>
      <c r="D611" t="s">
        <v>44</v>
      </c>
      <c r="E611" t="s">
        <v>45</v>
      </c>
      <c r="F611">
        <v>6594</v>
      </c>
      <c r="G611">
        <v>1</v>
      </c>
      <c r="H611" t="s">
        <v>21</v>
      </c>
      <c r="I611" t="s">
        <v>22</v>
      </c>
      <c r="J611">
        <v>1</v>
      </c>
      <c r="K611">
        <v>4</v>
      </c>
      <c r="L611" t="s">
        <v>27</v>
      </c>
      <c r="M611">
        <v>3</v>
      </c>
      <c r="N611">
        <v>12</v>
      </c>
      <c r="O611">
        <v>6</v>
      </c>
      <c r="P611">
        <v>4</v>
      </c>
      <c r="Q611" t="s">
        <v>27</v>
      </c>
    </row>
    <row r="612" spans="1:17" x14ac:dyDescent="0.3">
      <c r="A612" t="s">
        <v>657</v>
      </c>
      <c r="B612">
        <v>27</v>
      </c>
      <c r="C612" t="s">
        <v>35</v>
      </c>
      <c r="D612" t="s">
        <v>70</v>
      </c>
      <c r="E612" t="s">
        <v>144</v>
      </c>
      <c r="F612">
        <v>5949</v>
      </c>
      <c r="G612">
        <v>0</v>
      </c>
      <c r="H612" t="s">
        <v>37</v>
      </c>
      <c r="I612" t="s">
        <v>22</v>
      </c>
      <c r="J612">
        <v>2</v>
      </c>
      <c r="K612">
        <v>1</v>
      </c>
      <c r="L612" t="s">
        <v>27</v>
      </c>
      <c r="M612">
        <v>3</v>
      </c>
      <c r="N612">
        <v>19</v>
      </c>
      <c r="O612">
        <v>6</v>
      </c>
      <c r="P612">
        <v>1</v>
      </c>
      <c r="Q612" t="s">
        <v>27</v>
      </c>
    </row>
    <row r="613" spans="1:17" x14ac:dyDescent="0.3">
      <c r="A613" t="s">
        <v>658</v>
      </c>
      <c r="B613">
        <v>38</v>
      </c>
      <c r="C613" t="s">
        <v>18</v>
      </c>
      <c r="D613" t="s">
        <v>25</v>
      </c>
      <c r="E613" t="s">
        <v>61</v>
      </c>
      <c r="F613">
        <v>7514</v>
      </c>
      <c r="G613">
        <v>0</v>
      </c>
      <c r="H613" t="s">
        <v>46</v>
      </c>
      <c r="I613" t="s">
        <v>31</v>
      </c>
      <c r="J613">
        <v>1</v>
      </c>
      <c r="K613">
        <v>2</v>
      </c>
      <c r="L613" t="s">
        <v>27</v>
      </c>
      <c r="M613">
        <v>4</v>
      </c>
      <c r="N613">
        <v>21</v>
      </c>
      <c r="O613">
        <v>1</v>
      </c>
      <c r="P613">
        <v>4</v>
      </c>
      <c r="Q613" t="s">
        <v>27</v>
      </c>
    </row>
    <row r="614" spans="1:17" x14ac:dyDescent="0.3">
      <c r="A614" t="s">
        <v>659</v>
      </c>
      <c r="B614">
        <v>34</v>
      </c>
      <c r="C614" t="s">
        <v>18</v>
      </c>
      <c r="D614" t="s">
        <v>74</v>
      </c>
      <c r="E614" t="s">
        <v>99</v>
      </c>
      <c r="F614">
        <v>7190</v>
      </c>
      <c r="G614">
        <v>1</v>
      </c>
      <c r="H614" t="s">
        <v>21</v>
      </c>
      <c r="I614" t="s">
        <v>56</v>
      </c>
      <c r="J614">
        <v>1</v>
      </c>
      <c r="K614">
        <v>3</v>
      </c>
      <c r="L614" t="s">
        <v>27</v>
      </c>
      <c r="M614">
        <v>3</v>
      </c>
      <c r="N614">
        <v>22</v>
      </c>
      <c r="O614">
        <v>6</v>
      </c>
      <c r="P614">
        <v>1</v>
      </c>
      <c r="Q614" t="s">
        <v>23</v>
      </c>
    </row>
    <row r="615" spans="1:17" x14ac:dyDescent="0.3">
      <c r="A615" t="s">
        <v>660</v>
      </c>
      <c r="B615">
        <v>34</v>
      </c>
      <c r="C615" t="s">
        <v>18</v>
      </c>
      <c r="D615" t="s">
        <v>74</v>
      </c>
      <c r="E615" t="s">
        <v>99</v>
      </c>
      <c r="F615">
        <v>8771</v>
      </c>
      <c r="G615">
        <v>5</v>
      </c>
      <c r="H615" t="s">
        <v>46</v>
      </c>
      <c r="I615" t="s">
        <v>22</v>
      </c>
      <c r="J615">
        <v>2</v>
      </c>
      <c r="K615">
        <v>2</v>
      </c>
      <c r="L615" t="s">
        <v>27</v>
      </c>
      <c r="M615">
        <v>4</v>
      </c>
      <c r="N615">
        <v>3</v>
      </c>
      <c r="O615">
        <v>6</v>
      </c>
      <c r="P615">
        <v>1</v>
      </c>
      <c r="Q615" t="s">
        <v>27</v>
      </c>
    </row>
    <row r="616" spans="1:17" x14ac:dyDescent="0.3">
      <c r="A616" t="s">
        <v>661</v>
      </c>
      <c r="B616">
        <v>48</v>
      </c>
      <c r="C616" t="s">
        <v>18</v>
      </c>
      <c r="D616" t="s">
        <v>25</v>
      </c>
      <c r="E616" t="s">
        <v>26</v>
      </c>
      <c r="F616">
        <v>7614</v>
      </c>
      <c r="G616">
        <v>1</v>
      </c>
      <c r="H616" t="s">
        <v>37</v>
      </c>
      <c r="I616" t="s">
        <v>22</v>
      </c>
      <c r="J616">
        <v>1</v>
      </c>
      <c r="K616">
        <v>4</v>
      </c>
      <c r="L616" t="s">
        <v>27</v>
      </c>
      <c r="M616">
        <v>3</v>
      </c>
      <c r="N616">
        <v>8</v>
      </c>
      <c r="O616">
        <v>6</v>
      </c>
      <c r="P616">
        <v>3</v>
      </c>
      <c r="Q616" t="s">
        <v>27</v>
      </c>
    </row>
    <row r="617" spans="1:17" x14ac:dyDescent="0.3">
      <c r="A617" t="s">
        <v>662</v>
      </c>
      <c r="B617">
        <v>27</v>
      </c>
      <c r="C617" t="s">
        <v>35</v>
      </c>
      <c r="D617" t="s">
        <v>29</v>
      </c>
      <c r="E617" t="s">
        <v>49</v>
      </c>
      <c r="F617">
        <v>6439</v>
      </c>
      <c r="G617">
        <v>2</v>
      </c>
      <c r="H617" t="s">
        <v>21</v>
      </c>
      <c r="I617" t="s">
        <v>22</v>
      </c>
      <c r="J617">
        <v>1</v>
      </c>
      <c r="K617">
        <v>1</v>
      </c>
      <c r="L617" t="s">
        <v>27</v>
      </c>
      <c r="M617">
        <v>2</v>
      </c>
      <c r="N617">
        <v>13</v>
      </c>
      <c r="O617">
        <v>2</v>
      </c>
      <c r="P617">
        <v>4</v>
      </c>
      <c r="Q617" t="s">
        <v>27</v>
      </c>
    </row>
    <row r="618" spans="1:17" x14ac:dyDescent="0.3">
      <c r="A618" t="s">
        <v>663</v>
      </c>
      <c r="B618">
        <v>32</v>
      </c>
      <c r="C618" t="s">
        <v>35</v>
      </c>
      <c r="D618" t="s">
        <v>74</v>
      </c>
      <c r="E618" t="s">
        <v>20</v>
      </c>
      <c r="F618">
        <v>15686</v>
      </c>
      <c r="G618">
        <v>14</v>
      </c>
      <c r="H618" t="s">
        <v>46</v>
      </c>
      <c r="I618" t="s">
        <v>22</v>
      </c>
      <c r="J618">
        <v>4</v>
      </c>
      <c r="K618">
        <v>1</v>
      </c>
      <c r="L618" t="s">
        <v>27</v>
      </c>
      <c r="M618">
        <v>3</v>
      </c>
      <c r="N618">
        <v>6</v>
      </c>
      <c r="O618">
        <v>2</v>
      </c>
      <c r="P618">
        <v>3</v>
      </c>
      <c r="Q618" t="s">
        <v>27</v>
      </c>
    </row>
    <row r="619" spans="1:17" x14ac:dyDescent="0.3">
      <c r="A619" t="s">
        <v>664</v>
      </c>
      <c r="B619">
        <v>31</v>
      </c>
      <c r="C619" t="s">
        <v>35</v>
      </c>
      <c r="D619" t="s">
        <v>74</v>
      </c>
      <c r="E619" t="s">
        <v>75</v>
      </c>
      <c r="F619">
        <v>5071</v>
      </c>
      <c r="G619">
        <v>3</v>
      </c>
      <c r="H619" t="s">
        <v>37</v>
      </c>
      <c r="I619" t="s">
        <v>31</v>
      </c>
      <c r="J619">
        <v>2</v>
      </c>
      <c r="K619">
        <v>4</v>
      </c>
      <c r="L619" t="s">
        <v>27</v>
      </c>
      <c r="M619">
        <v>3</v>
      </c>
      <c r="N619">
        <v>14</v>
      </c>
      <c r="O619">
        <v>6</v>
      </c>
      <c r="P619">
        <v>2</v>
      </c>
      <c r="Q619" t="s">
        <v>23</v>
      </c>
    </row>
    <row r="620" spans="1:17" x14ac:dyDescent="0.3">
      <c r="A620" t="s">
        <v>665</v>
      </c>
      <c r="B620">
        <v>24</v>
      </c>
      <c r="C620" t="s">
        <v>18</v>
      </c>
      <c r="D620" t="s">
        <v>74</v>
      </c>
      <c r="E620" t="s">
        <v>99</v>
      </c>
      <c r="F620">
        <v>6252</v>
      </c>
      <c r="G620">
        <v>1</v>
      </c>
      <c r="H620" t="s">
        <v>37</v>
      </c>
      <c r="I620" t="s">
        <v>31</v>
      </c>
      <c r="J620">
        <v>3</v>
      </c>
      <c r="K620">
        <v>3</v>
      </c>
      <c r="L620" t="s">
        <v>27</v>
      </c>
      <c r="M620">
        <v>3</v>
      </c>
      <c r="N620">
        <v>13</v>
      </c>
      <c r="O620">
        <v>2</v>
      </c>
      <c r="P620">
        <v>3</v>
      </c>
      <c r="Q620" t="s">
        <v>27</v>
      </c>
    </row>
    <row r="621" spans="1:17" x14ac:dyDescent="0.3">
      <c r="A621" t="s">
        <v>666</v>
      </c>
      <c r="B621">
        <v>38</v>
      </c>
      <c r="C621" t="s">
        <v>35</v>
      </c>
      <c r="D621" t="s">
        <v>74</v>
      </c>
      <c r="E621" t="s">
        <v>75</v>
      </c>
      <c r="F621">
        <v>9580</v>
      </c>
      <c r="G621">
        <v>7</v>
      </c>
      <c r="H621" t="s">
        <v>37</v>
      </c>
      <c r="I621" t="s">
        <v>31</v>
      </c>
      <c r="J621">
        <v>4</v>
      </c>
      <c r="K621">
        <v>3</v>
      </c>
      <c r="L621" t="s">
        <v>27</v>
      </c>
      <c r="M621">
        <v>2</v>
      </c>
      <c r="N621">
        <v>16</v>
      </c>
      <c r="O621">
        <v>2</v>
      </c>
      <c r="P621">
        <v>4</v>
      </c>
      <c r="Q621" t="s">
        <v>27</v>
      </c>
    </row>
    <row r="622" spans="1:17" x14ac:dyDescent="0.3">
      <c r="A622" t="s">
        <v>667</v>
      </c>
      <c r="B622">
        <v>35</v>
      </c>
      <c r="C622" t="s">
        <v>35</v>
      </c>
      <c r="D622" t="s">
        <v>19</v>
      </c>
      <c r="E622" t="s">
        <v>40</v>
      </c>
      <c r="F622">
        <v>7717</v>
      </c>
      <c r="G622">
        <v>2</v>
      </c>
      <c r="H622" t="s">
        <v>37</v>
      </c>
      <c r="I622" t="s">
        <v>56</v>
      </c>
      <c r="J622">
        <v>1</v>
      </c>
      <c r="K622">
        <v>4</v>
      </c>
      <c r="L622" t="s">
        <v>27</v>
      </c>
      <c r="M622">
        <v>3</v>
      </c>
      <c r="N622">
        <v>18</v>
      </c>
      <c r="O622">
        <v>6</v>
      </c>
      <c r="P622">
        <v>4</v>
      </c>
      <c r="Q622" t="s">
        <v>27</v>
      </c>
    </row>
    <row r="623" spans="1:17" x14ac:dyDescent="0.3">
      <c r="A623" t="s">
        <v>668</v>
      </c>
      <c r="B623">
        <v>26</v>
      </c>
      <c r="C623" t="s">
        <v>18</v>
      </c>
      <c r="D623" t="s">
        <v>74</v>
      </c>
      <c r="E623" t="s">
        <v>99</v>
      </c>
      <c r="F623">
        <v>8299</v>
      </c>
      <c r="G623">
        <v>6</v>
      </c>
      <c r="H623" t="s">
        <v>37</v>
      </c>
      <c r="I623" t="s">
        <v>31</v>
      </c>
      <c r="J623">
        <v>4</v>
      </c>
      <c r="K623">
        <v>1</v>
      </c>
      <c r="L623" t="s">
        <v>27</v>
      </c>
      <c r="M623">
        <v>3</v>
      </c>
      <c r="N623">
        <v>26</v>
      </c>
      <c r="O623">
        <v>6</v>
      </c>
      <c r="P623">
        <v>2</v>
      </c>
      <c r="Q623" t="s">
        <v>27</v>
      </c>
    </row>
    <row r="624" spans="1:17" x14ac:dyDescent="0.3">
      <c r="A624" t="s">
        <v>669</v>
      </c>
      <c r="B624">
        <v>18</v>
      </c>
      <c r="C624" t="s">
        <v>35</v>
      </c>
      <c r="D624" t="s">
        <v>25</v>
      </c>
      <c r="E624" t="s">
        <v>20</v>
      </c>
      <c r="F624">
        <v>10829</v>
      </c>
      <c r="G624">
        <v>0</v>
      </c>
      <c r="H624" t="s">
        <v>37</v>
      </c>
      <c r="I624" t="s">
        <v>22</v>
      </c>
      <c r="J624">
        <v>4</v>
      </c>
      <c r="K624">
        <v>4</v>
      </c>
      <c r="L624" t="s">
        <v>27</v>
      </c>
      <c r="M624">
        <v>3</v>
      </c>
      <c r="N624">
        <v>15</v>
      </c>
      <c r="O624">
        <v>5</v>
      </c>
      <c r="P624">
        <v>3</v>
      </c>
      <c r="Q624" t="s">
        <v>27</v>
      </c>
    </row>
    <row r="625" spans="1:17" x14ac:dyDescent="0.3">
      <c r="A625" t="s">
        <v>670</v>
      </c>
      <c r="B625">
        <v>27</v>
      </c>
      <c r="C625" t="s">
        <v>18</v>
      </c>
      <c r="D625" t="s">
        <v>70</v>
      </c>
      <c r="E625" t="s">
        <v>71</v>
      </c>
      <c r="F625">
        <v>8854</v>
      </c>
      <c r="G625">
        <v>9</v>
      </c>
      <c r="H625" t="s">
        <v>33</v>
      </c>
      <c r="I625" t="s">
        <v>22</v>
      </c>
      <c r="J625">
        <v>1</v>
      </c>
      <c r="K625">
        <v>3</v>
      </c>
      <c r="L625" t="s">
        <v>27</v>
      </c>
      <c r="M625">
        <v>4</v>
      </c>
      <c r="N625">
        <v>24</v>
      </c>
      <c r="O625">
        <v>6</v>
      </c>
      <c r="P625">
        <v>1</v>
      </c>
      <c r="Q625" t="s">
        <v>27</v>
      </c>
    </row>
    <row r="626" spans="1:17" x14ac:dyDescent="0.3">
      <c r="A626" t="s">
        <v>671</v>
      </c>
      <c r="B626">
        <v>40</v>
      </c>
      <c r="C626" t="s">
        <v>18</v>
      </c>
      <c r="D626" t="s">
        <v>44</v>
      </c>
      <c r="E626" t="s">
        <v>20</v>
      </c>
      <c r="F626">
        <v>19765</v>
      </c>
      <c r="G626">
        <v>22</v>
      </c>
      <c r="H626" t="s">
        <v>37</v>
      </c>
      <c r="I626" t="s">
        <v>31</v>
      </c>
      <c r="J626">
        <v>2</v>
      </c>
      <c r="K626">
        <v>1</v>
      </c>
      <c r="L626" t="s">
        <v>27</v>
      </c>
      <c r="M626">
        <v>3</v>
      </c>
      <c r="N626">
        <v>16</v>
      </c>
      <c r="O626">
        <v>2</v>
      </c>
      <c r="P626">
        <v>2</v>
      </c>
      <c r="Q626" t="s">
        <v>27</v>
      </c>
    </row>
    <row r="627" spans="1:17" x14ac:dyDescent="0.3">
      <c r="A627" t="s">
        <v>672</v>
      </c>
      <c r="B627">
        <v>30</v>
      </c>
      <c r="C627" t="s">
        <v>18</v>
      </c>
      <c r="D627" t="s">
        <v>25</v>
      </c>
      <c r="E627" t="s">
        <v>20</v>
      </c>
      <c r="F627">
        <v>13694</v>
      </c>
      <c r="G627">
        <v>5</v>
      </c>
      <c r="H627" t="s">
        <v>21</v>
      </c>
      <c r="I627" t="s">
        <v>31</v>
      </c>
      <c r="J627">
        <v>1</v>
      </c>
      <c r="K627">
        <v>3</v>
      </c>
      <c r="L627" t="s">
        <v>27</v>
      </c>
      <c r="M627">
        <v>1</v>
      </c>
      <c r="N627">
        <v>13</v>
      </c>
      <c r="O627">
        <v>3</v>
      </c>
      <c r="P627">
        <v>1</v>
      </c>
      <c r="Q627" t="s">
        <v>27</v>
      </c>
    </row>
    <row r="628" spans="1:17" x14ac:dyDescent="0.3">
      <c r="A628" t="s">
        <v>673</v>
      </c>
      <c r="B628">
        <v>28</v>
      </c>
      <c r="C628" t="s">
        <v>18</v>
      </c>
      <c r="D628" t="s">
        <v>25</v>
      </c>
      <c r="E628" t="s">
        <v>26</v>
      </c>
      <c r="F628">
        <v>9110</v>
      </c>
      <c r="G628">
        <v>8</v>
      </c>
      <c r="H628" t="s">
        <v>37</v>
      </c>
      <c r="I628" t="s">
        <v>22</v>
      </c>
      <c r="J628">
        <v>4</v>
      </c>
      <c r="K628">
        <v>1</v>
      </c>
      <c r="L628" t="s">
        <v>27</v>
      </c>
      <c r="M628">
        <v>4</v>
      </c>
      <c r="N628">
        <v>27</v>
      </c>
      <c r="O628">
        <v>0</v>
      </c>
      <c r="P628">
        <v>4</v>
      </c>
      <c r="Q628" t="s">
        <v>27</v>
      </c>
    </row>
    <row r="629" spans="1:17" x14ac:dyDescent="0.3">
      <c r="A629" t="s">
        <v>674</v>
      </c>
      <c r="B629">
        <v>25</v>
      </c>
      <c r="C629" t="s">
        <v>35</v>
      </c>
      <c r="D629" t="s">
        <v>19</v>
      </c>
      <c r="E629" t="s">
        <v>40</v>
      </c>
      <c r="F629">
        <v>7910</v>
      </c>
      <c r="G629">
        <v>7</v>
      </c>
      <c r="H629" t="s">
        <v>37</v>
      </c>
      <c r="I629" t="s">
        <v>31</v>
      </c>
      <c r="J629">
        <v>1</v>
      </c>
      <c r="K629">
        <v>3</v>
      </c>
      <c r="L629" t="s">
        <v>27</v>
      </c>
      <c r="M629">
        <v>1</v>
      </c>
      <c r="N629">
        <v>21</v>
      </c>
      <c r="O629">
        <v>3</v>
      </c>
      <c r="P629">
        <v>2</v>
      </c>
      <c r="Q629" t="s">
        <v>27</v>
      </c>
    </row>
    <row r="630" spans="1:17" x14ac:dyDescent="0.3">
      <c r="A630" t="s">
        <v>675</v>
      </c>
      <c r="B630">
        <v>24</v>
      </c>
      <c r="C630" t="s">
        <v>35</v>
      </c>
      <c r="D630" t="s">
        <v>74</v>
      </c>
      <c r="E630" t="s">
        <v>99</v>
      </c>
      <c r="F630">
        <v>7717</v>
      </c>
      <c r="G630">
        <v>6</v>
      </c>
      <c r="H630" t="s">
        <v>37</v>
      </c>
      <c r="I630" t="s">
        <v>31</v>
      </c>
      <c r="J630">
        <v>2</v>
      </c>
      <c r="K630">
        <v>3</v>
      </c>
      <c r="L630" t="s">
        <v>27</v>
      </c>
      <c r="M630">
        <v>3</v>
      </c>
      <c r="N630">
        <v>19</v>
      </c>
      <c r="O630">
        <v>3</v>
      </c>
      <c r="P630">
        <v>2</v>
      </c>
      <c r="Q630" t="s">
        <v>27</v>
      </c>
    </row>
    <row r="631" spans="1:17" x14ac:dyDescent="0.3">
      <c r="A631" t="s">
        <v>676</v>
      </c>
      <c r="B631">
        <v>39</v>
      </c>
      <c r="C631" t="s">
        <v>18</v>
      </c>
      <c r="D631" t="s">
        <v>25</v>
      </c>
      <c r="E631" t="s">
        <v>26</v>
      </c>
      <c r="F631">
        <v>10675</v>
      </c>
      <c r="G631">
        <v>5</v>
      </c>
      <c r="H631" t="s">
        <v>37</v>
      </c>
      <c r="I631" t="s">
        <v>56</v>
      </c>
      <c r="J631">
        <v>3</v>
      </c>
      <c r="K631">
        <v>3</v>
      </c>
      <c r="L631" t="s">
        <v>23</v>
      </c>
      <c r="M631">
        <v>3</v>
      </c>
      <c r="N631">
        <v>9</v>
      </c>
      <c r="O631">
        <v>4</v>
      </c>
      <c r="P631">
        <v>1</v>
      </c>
      <c r="Q631" t="s">
        <v>23</v>
      </c>
    </row>
    <row r="632" spans="1:17" x14ac:dyDescent="0.3">
      <c r="A632" t="s">
        <v>677</v>
      </c>
      <c r="B632">
        <v>47</v>
      </c>
      <c r="C632" t="s">
        <v>35</v>
      </c>
      <c r="D632" t="s">
        <v>29</v>
      </c>
      <c r="E632" t="s">
        <v>20</v>
      </c>
      <c r="F632">
        <v>16147</v>
      </c>
      <c r="G632">
        <v>8</v>
      </c>
      <c r="H632" t="s">
        <v>46</v>
      </c>
      <c r="I632" t="s">
        <v>56</v>
      </c>
      <c r="J632">
        <v>3</v>
      </c>
      <c r="K632">
        <v>4</v>
      </c>
      <c r="L632" t="s">
        <v>27</v>
      </c>
      <c r="M632">
        <v>3</v>
      </c>
      <c r="N632">
        <v>20</v>
      </c>
      <c r="O632">
        <v>6</v>
      </c>
      <c r="P632">
        <v>2</v>
      </c>
      <c r="Q632" t="s">
        <v>27</v>
      </c>
    </row>
    <row r="633" spans="1:17" x14ac:dyDescent="0.3">
      <c r="A633" t="s">
        <v>678</v>
      </c>
      <c r="B633">
        <v>20</v>
      </c>
      <c r="C633" t="s">
        <v>35</v>
      </c>
      <c r="D633" t="s">
        <v>25</v>
      </c>
      <c r="E633" t="s">
        <v>61</v>
      </c>
      <c r="F633">
        <v>4557</v>
      </c>
      <c r="G633">
        <v>2</v>
      </c>
      <c r="H633" t="s">
        <v>21</v>
      </c>
      <c r="I633" t="s">
        <v>56</v>
      </c>
      <c r="J633">
        <v>3</v>
      </c>
      <c r="K633">
        <v>2</v>
      </c>
      <c r="L633" t="s">
        <v>27</v>
      </c>
      <c r="M633">
        <v>3</v>
      </c>
      <c r="N633">
        <v>29</v>
      </c>
      <c r="O633">
        <v>0</v>
      </c>
      <c r="P633">
        <v>1</v>
      </c>
      <c r="Q633" t="s">
        <v>27</v>
      </c>
    </row>
    <row r="634" spans="1:17" x14ac:dyDescent="0.3">
      <c r="A634" t="s">
        <v>679</v>
      </c>
      <c r="B634">
        <v>20</v>
      </c>
      <c r="C634" t="s">
        <v>35</v>
      </c>
      <c r="D634" t="s">
        <v>29</v>
      </c>
      <c r="E634" t="s">
        <v>49</v>
      </c>
      <c r="F634">
        <v>6692</v>
      </c>
      <c r="G634">
        <v>2</v>
      </c>
      <c r="H634" t="s">
        <v>37</v>
      </c>
      <c r="I634" t="s">
        <v>22</v>
      </c>
      <c r="J634">
        <v>2</v>
      </c>
      <c r="K634">
        <v>2</v>
      </c>
      <c r="L634" t="s">
        <v>27</v>
      </c>
      <c r="M634">
        <v>3</v>
      </c>
      <c r="N634">
        <v>3</v>
      </c>
      <c r="O634">
        <v>1</v>
      </c>
      <c r="P634">
        <v>1</v>
      </c>
      <c r="Q634" t="s">
        <v>27</v>
      </c>
    </row>
    <row r="635" spans="1:17" x14ac:dyDescent="0.3">
      <c r="A635" t="s">
        <v>680</v>
      </c>
      <c r="B635">
        <v>37</v>
      </c>
      <c r="C635" t="s">
        <v>35</v>
      </c>
      <c r="D635" t="s">
        <v>25</v>
      </c>
      <c r="E635" t="s">
        <v>26</v>
      </c>
      <c r="F635">
        <v>7467</v>
      </c>
      <c r="G635">
        <v>1</v>
      </c>
      <c r="H635" t="s">
        <v>21</v>
      </c>
      <c r="I635" t="s">
        <v>22</v>
      </c>
      <c r="J635">
        <v>1</v>
      </c>
      <c r="K635">
        <v>1</v>
      </c>
      <c r="L635" t="s">
        <v>27</v>
      </c>
      <c r="M635">
        <v>4</v>
      </c>
      <c r="N635">
        <v>9</v>
      </c>
      <c r="O635">
        <v>0</v>
      </c>
      <c r="P635">
        <v>1</v>
      </c>
      <c r="Q635" t="s">
        <v>27</v>
      </c>
    </row>
    <row r="636" spans="1:17" x14ac:dyDescent="0.3">
      <c r="A636" t="s">
        <v>681</v>
      </c>
      <c r="B636">
        <v>36</v>
      </c>
      <c r="C636" t="s">
        <v>18</v>
      </c>
      <c r="D636" t="s">
        <v>19</v>
      </c>
      <c r="E636" t="s">
        <v>20</v>
      </c>
      <c r="F636">
        <v>15351</v>
      </c>
      <c r="G636">
        <v>3</v>
      </c>
      <c r="H636" t="s">
        <v>37</v>
      </c>
      <c r="I636" t="s">
        <v>31</v>
      </c>
      <c r="J636">
        <v>1</v>
      </c>
      <c r="K636">
        <v>1</v>
      </c>
      <c r="L636" t="s">
        <v>27</v>
      </c>
      <c r="M636">
        <v>3</v>
      </c>
      <c r="N636">
        <v>26</v>
      </c>
      <c r="O636">
        <v>4</v>
      </c>
      <c r="P636">
        <v>3</v>
      </c>
      <c r="Q636" t="s">
        <v>27</v>
      </c>
    </row>
    <row r="637" spans="1:17" x14ac:dyDescent="0.3">
      <c r="A637" t="s">
        <v>682</v>
      </c>
      <c r="B637">
        <v>39</v>
      </c>
      <c r="C637" t="s">
        <v>18</v>
      </c>
      <c r="D637" t="s">
        <v>19</v>
      </c>
      <c r="E637" t="s">
        <v>36</v>
      </c>
      <c r="F637">
        <v>8658</v>
      </c>
      <c r="G637">
        <v>10</v>
      </c>
      <c r="H637" t="s">
        <v>33</v>
      </c>
      <c r="I637" t="s">
        <v>22</v>
      </c>
      <c r="J637">
        <v>3</v>
      </c>
      <c r="K637">
        <v>3</v>
      </c>
      <c r="L637" t="s">
        <v>27</v>
      </c>
      <c r="M637">
        <v>4</v>
      </c>
      <c r="N637">
        <v>26</v>
      </c>
      <c r="O637">
        <v>2</v>
      </c>
      <c r="P637">
        <v>2</v>
      </c>
      <c r="Q637" t="s">
        <v>27</v>
      </c>
    </row>
    <row r="638" spans="1:17" x14ac:dyDescent="0.3">
      <c r="A638" t="s">
        <v>683</v>
      </c>
      <c r="B638">
        <v>43</v>
      </c>
      <c r="C638" t="s">
        <v>18</v>
      </c>
      <c r="D638" t="s">
        <v>25</v>
      </c>
      <c r="E638" t="s">
        <v>26</v>
      </c>
      <c r="F638">
        <v>6515</v>
      </c>
      <c r="G638">
        <v>0</v>
      </c>
      <c r="H638" t="s">
        <v>21</v>
      </c>
      <c r="I638" t="s">
        <v>31</v>
      </c>
      <c r="J638">
        <v>2</v>
      </c>
      <c r="K638">
        <v>4</v>
      </c>
      <c r="L638" t="s">
        <v>23</v>
      </c>
      <c r="M638">
        <v>4</v>
      </c>
      <c r="N638">
        <v>7</v>
      </c>
      <c r="O638">
        <v>2</v>
      </c>
      <c r="P638">
        <v>2</v>
      </c>
      <c r="Q638" t="s">
        <v>27</v>
      </c>
    </row>
    <row r="639" spans="1:17" x14ac:dyDescent="0.3">
      <c r="A639" t="s">
        <v>684</v>
      </c>
      <c r="B639">
        <v>39</v>
      </c>
      <c r="C639" t="s">
        <v>35</v>
      </c>
      <c r="D639" t="s">
        <v>44</v>
      </c>
      <c r="E639" t="s">
        <v>54</v>
      </c>
      <c r="F639">
        <v>7993</v>
      </c>
      <c r="G639">
        <v>3</v>
      </c>
      <c r="H639" t="s">
        <v>37</v>
      </c>
      <c r="I639" t="s">
        <v>31</v>
      </c>
      <c r="J639">
        <v>3</v>
      </c>
      <c r="K639">
        <v>3</v>
      </c>
      <c r="L639" t="s">
        <v>27</v>
      </c>
      <c r="M639">
        <v>3</v>
      </c>
      <c r="N639">
        <v>5</v>
      </c>
      <c r="O639">
        <v>3</v>
      </c>
      <c r="P639">
        <v>1</v>
      </c>
      <c r="Q639" t="s">
        <v>27</v>
      </c>
    </row>
    <row r="640" spans="1:17" x14ac:dyDescent="0.3">
      <c r="A640" t="s">
        <v>685</v>
      </c>
      <c r="B640">
        <v>29</v>
      </c>
      <c r="C640" t="s">
        <v>18</v>
      </c>
      <c r="D640" t="s">
        <v>25</v>
      </c>
      <c r="E640" t="s">
        <v>61</v>
      </c>
      <c r="F640">
        <v>6345</v>
      </c>
      <c r="G640">
        <v>2</v>
      </c>
      <c r="H640" t="s">
        <v>37</v>
      </c>
      <c r="I640" t="s">
        <v>56</v>
      </c>
      <c r="J640">
        <v>4</v>
      </c>
      <c r="K640">
        <v>4</v>
      </c>
      <c r="L640" t="s">
        <v>27</v>
      </c>
      <c r="M640">
        <v>3</v>
      </c>
      <c r="N640">
        <v>29</v>
      </c>
      <c r="O640">
        <v>3</v>
      </c>
      <c r="P640">
        <v>4</v>
      </c>
      <c r="Q640" t="s">
        <v>27</v>
      </c>
    </row>
    <row r="641" spans="1:17" x14ac:dyDescent="0.3">
      <c r="A641" t="s">
        <v>686</v>
      </c>
      <c r="B641">
        <v>33</v>
      </c>
      <c r="C641" t="s">
        <v>18</v>
      </c>
      <c r="D641" t="s">
        <v>19</v>
      </c>
      <c r="E641" t="s">
        <v>40</v>
      </c>
      <c r="F641">
        <v>7321</v>
      </c>
      <c r="G641">
        <v>4</v>
      </c>
      <c r="H641" t="s">
        <v>37</v>
      </c>
      <c r="I641" t="s">
        <v>31</v>
      </c>
      <c r="J641">
        <v>2</v>
      </c>
      <c r="K641">
        <v>3</v>
      </c>
      <c r="L641" t="s">
        <v>27</v>
      </c>
      <c r="M641">
        <v>2</v>
      </c>
      <c r="N641">
        <v>23</v>
      </c>
      <c r="O641">
        <v>1</v>
      </c>
      <c r="P641">
        <v>2</v>
      </c>
      <c r="Q641" t="s">
        <v>23</v>
      </c>
    </row>
    <row r="642" spans="1:17" x14ac:dyDescent="0.3">
      <c r="A642" t="s">
        <v>687</v>
      </c>
      <c r="B642">
        <v>27</v>
      </c>
      <c r="C642" t="s">
        <v>35</v>
      </c>
      <c r="D642" t="s">
        <v>25</v>
      </c>
      <c r="E642" t="s">
        <v>26</v>
      </c>
      <c r="F642">
        <v>8438</v>
      </c>
      <c r="G642">
        <v>6</v>
      </c>
      <c r="H642" t="s">
        <v>37</v>
      </c>
      <c r="I642" t="s">
        <v>31</v>
      </c>
      <c r="J642">
        <v>4</v>
      </c>
      <c r="K642">
        <v>3</v>
      </c>
      <c r="L642" t="s">
        <v>23</v>
      </c>
      <c r="M642">
        <v>1</v>
      </c>
      <c r="N642">
        <v>13</v>
      </c>
      <c r="O642">
        <v>2</v>
      </c>
      <c r="P642">
        <v>3</v>
      </c>
      <c r="Q642" t="s">
        <v>27</v>
      </c>
    </row>
    <row r="643" spans="1:17" x14ac:dyDescent="0.3">
      <c r="A643" t="s">
        <v>688</v>
      </c>
      <c r="B643">
        <v>28</v>
      </c>
      <c r="C643" t="s">
        <v>35</v>
      </c>
      <c r="D643" t="s">
        <v>19</v>
      </c>
      <c r="E643" t="s">
        <v>40</v>
      </c>
      <c r="F643">
        <v>6382</v>
      </c>
      <c r="G643">
        <v>2</v>
      </c>
      <c r="H643" t="s">
        <v>37</v>
      </c>
      <c r="I643" t="s">
        <v>31</v>
      </c>
      <c r="J643">
        <v>4</v>
      </c>
      <c r="K643">
        <v>1</v>
      </c>
      <c r="L643" t="s">
        <v>23</v>
      </c>
      <c r="M643">
        <v>1</v>
      </c>
      <c r="N643">
        <v>10</v>
      </c>
      <c r="O643">
        <v>5</v>
      </c>
      <c r="P643">
        <v>1</v>
      </c>
      <c r="Q643" t="s">
        <v>27</v>
      </c>
    </row>
    <row r="644" spans="1:17" x14ac:dyDescent="0.3">
      <c r="A644" t="s">
        <v>689</v>
      </c>
      <c r="B644">
        <v>29</v>
      </c>
      <c r="C644" t="s">
        <v>35</v>
      </c>
      <c r="D644" t="s">
        <v>70</v>
      </c>
      <c r="E644" t="s">
        <v>20</v>
      </c>
      <c r="F644">
        <v>13164</v>
      </c>
      <c r="G644">
        <v>1</v>
      </c>
      <c r="H644" t="s">
        <v>21</v>
      </c>
      <c r="I644" t="s">
        <v>22</v>
      </c>
      <c r="J644">
        <v>2</v>
      </c>
      <c r="K644">
        <v>4</v>
      </c>
      <c r="L644" t="s">
        <v>27</v>
      </c>
      <c r="M644">
        <v>3</v>
      </c>
      <c r="N644">
        <v>15</v>
      </c>
      <c r="O644">
        <v>5</v>
      </c>
      <c r="P644">
        <v>2</v>
      </c>
      <c r="Q644" t="s">
        <v>27</v>
      </c>
    </row>
    <row r="645" spans="1:17" x14ac:dyDescent="0.3">
      <c r="A645" t="s">
        <v>690</v>
      </c>
      <c r="B645">
        <v>49</v>
      </c>
      <c r="C645" t="s">
        <v>18</v>
      </c>
      <c r="D645" t="s">
        <v>70</v>
      </c>
      <c r="E645" t="s">
        <v>71</v>
      </c>
      <c r="F645">
        <v>11462</v>
      </c>
      <c r="G645">
        <v>10</v>
      </c>
      <c r="H645" t="s">
        <v>21</v>
      </c>
      <c r="I645" t="s">
        <v>31</v>
      </c>
      <c r="J645">
        <v>1</v>
      </c>
      <c r="K645">
        <v>4</v>
      </c>
      <c r="L645" t="s">
        <v>27</v>
      </c>
      <c r="M645">
        <v>3</v>
      </c>
      <c r="N645">
        <v>12</v>
      </c>
      <c r="O645">
        <v>0</v>
      </c>
      <c r="P645">
        <v>2</v>
      </c>
      <c r="Q645" t="s">
        <v>27</v>
      </c>
    </row>
    <row r="646" spans="1:17" x14ac:dyDescent="0.3">
      <c r="A646" t="s">
        <v>691</v>
      </c>
      <c r="B646">
        <v>24</v>
      </c>
      <c r="C646" t="s">
        <v>18</v>
      </c>
      <c r="D646" t="s">
        <v>25</v>
      </c>
      <c r="E646" t="s">
        <v>61</v>
      </c>
      <c r="F646">
        <v>8753</v>
      </c>
      <c r="G646">
        <v>6</v>
      </c>
      <c r="H646" t="s">
        <v>37</v>
      </c>
      <c r="I646" t="s">
        <v>22</v>
      </c>
      <c r="J646">
        <v>4</v>
      </c>
      <c r="K646">
        <v>4</v>
      </c>
      <c r="L646" t="s">
        <v>27</v>
      </c>
      <c r="M646">
        <v>3</v>
      </c>
      <c r="N646">
        <v>14</v>
      </c>
      <c r="O646">
        <v>3</v>
      </c>
      <c r="P646">
        <v>2</v>
      </c>
      <c r="Q646" t="s">
        <v>23</v>
      </c>
    </row>
    <row r="647" spans="1:17" x14ac:dyDescent="0.3">
      <c r="A647" t="s">
        <v>692</v>
      </c>
      <c r="B647">
        <v>40</v>
      </c>
      <c r="C647" t="s">
        <v>35</v>
      </c>
      <c r="D647" t="s">
        <v>25</v>
      </c>
      <c r="E647" t="s">
        <v>26</v>
      </c>
      <c r="F647">
        <v>4915</v>
      </c>
      <c r="G647">
        <v>0</v>
      </c>
      <c r="H647" t="s">
        <v>37</v>
      </c>
      <c r="I647" t="s">
        <v>31</v>
      </c>
      <c r="J647">
        <v>1</v>
      </c>
      <c r="K647">
        <v>4</v>
      </c>
      <c r="L647" t="s">
        <v>27</v>
      </c>
      <c r="M647">
        <v>3</v>
      </c>
      <c r="N647">
        <v>25</v>
      </c>
      <c r="O647">
        <v>6</v>
      </c>
      <c r="P647">
        <v>3</v>
      </c>
      <c r="Q647" t="s">
        <v>27</v>
      </c>
    </row>
    <row r="648" spans="1:17" x14ac:dyDescent="0.3">
      <c r="A648" t="s">
        <v>693</v>
      </c>
      <c r="B648">
        <v>29</v>
      </c>
      <c r="C648" t="s">
        <v>18</v>
      </c>
      <c r="D648" t="s">
        <v>74</v>
      </c>
      <c r="E648" t="s">
        <v>75</v>
      </c>
      <c r="F648">
        <v>6880</v>
      </c>
      <c r="G648">
        <v>6</v>
      </c>
      <c r="H648" t="s">
        <v>37</v>
      </c>
      <c r="I648" t="s">
        <v>22</v>
      </c>
      <c r="J648">
        <v>2</v>
      </c>
      <c r="K648">
        <v>4</v>
      </c>
      <c r="L648" t="s">
        <v>27</v>
      </c>
      <c r="M648">
        <v>2</v>
      </c>
      <c r="N648">
        <v>30</v>
      </c>
      <c r="O648">
        <v>3</v>
      </c>
      <c r="P648">
        <v>3</v>
      </c>
      <c r="Q648" t="s">
        <v>27</v>
      </c>
    </row>
    <row r="649" spans="1:17" x14ac:dyDescent="0.3">
      <c r="A649" t="s">
        <v>694</v>
      </c>
      <c r="B649">
        <v>41</v>
      </c>
      <c r="C649" t="s">
        <v>35</v>
      </c>
      <c r="D649" t="s">
        <v>25</v>
      </c>
      <c r="E649" t="s">
        <v>26</v>
      </c>
      <c r="F649">
        <v>10699</v>
      </c>
      <c r="G649">
        <v>9</v>
      </c>
      <c r="H649" t="s">
        <v>37</v>
      </c>
      <c r="I649" t="s">
        <v>31</v>
      </c>
      <c r="J649">
        <v>3</v>
      </c>
      <c r="K649">
        <v>2</v>
      </c>
      <c r="L649" t="s">
        <v>23</v>
      </c>
      <c r="M649">
        <v>3</v>
      </c>
      <c r="N649">
        <v>6</v>
      </c>
      <c r="O649">
        <v>4</v>
      </c>
      <c r="P649">
        <v>4</v>
      </c>
      <c r="Q649" t="s">
        <v>27</v>
      </c>
    </row>
    <row r="650" spans="1:17" x14ac:dyDescent="0.3">
      <c r="A650" t="s">
        <v>695</v>
      </c>
      <c r="B650">
        <v>26</v>
      </c>
      <c r="C650" t="s">
        <v>18</v>
      </c>
      <c r="D650" t="s">
        <v>19</v>
      </c>
      <c r="E650" t="s">
        <v>36</v>
      </c>
      <c r="F650">
        <v>6516</v>
      </c>
      <c r="G650">
        <v>2</v>
      </c>
      <c r="H650" t="s">
        <v>46</v>
      </c>
      <c r="I650" t="s">
        <v>22</v>
      </c>
      <c r="J650">
        <v>3</v>
      </c>
      <c r="K650">
        <v>4</v>
      </c>
      <c r="L650" t="s">
        <v>23</v>
      </c>
      <c r="M650">
        <v>2</v>
      </c>
      <c r="N650">
        <v>21</v>
      </c>
      <c r="O650">
        <v>2</v>
      </c>
      <c r="P650">
        <v>4</v>
      </c>
      <c r="Q650" t="s">
        <v>27</v>
      </c>
    </row>
    <row r="651" spans="1:17" x14ac:dyDescent="0.3">
      <c r="A651" t="s">
        <v>696</v>
      </c>
      <c r="B651">
        <v>25</v>
      </c>
      <c r="C651" t="s">
        <v>18</v>
      </c>
      <c r="D651" t="s">
        <v>74</v>
      </c>
      <c r="E651" t="s">
        <v>75</v>
      </c>
      <c r="F651">
        <v>7355</v>
      </c>
      <c r="G651">
        <v>3</v>
      </c>
      <c r="H651" t="s">
        <v>21</v>
      </c>
      <c r="I651" t="s">
        <v>31</v>
      </c>
      <c r="J651">
        <v>1</v>
      </c>
      <c r="K651">
        <v>2</v>
      </c>
      <c r="L651" t="s">
        <v>27</v>
      </c>
      <c r="M651">
        <v>3</v>
      </c>
      <c r="N651">
        <v>8</v>
      </c>
      <c r="O651">
        <v>5</v>
      </c>
      <c r="P651">
        <v>4</v>
      </c>
      <c r="Q651" t="s">
        <v>27</v>
      </c>
    </row>
    <row r="652" spans="1:17" x14ac:dyDescent="0.3">
      <c r="A652" t="s">
        <v>697</v>
      </c>
      <c r="B652">
        <v>30</v>
      </c>
      <c r="C652" t="s">
        <v>18</v>
      </c>
      <c r="D652" t="s">
        <v>19</v>
      </c>
      <c r="E652" t="s">
        <v>36</v>
      </c>
      <c r="F652">
        <v>8208</v>
      </c>
      <c r="G652">
        <v>9</v>
      </c>
      <c r="H652" t="s">
        <v>37</v>
      </c>
      <c r="I652" t="s">
        <v>22</v>
      </c>
      <c r="J652">
        <v>2</v>
      </c>
      <c r="K652">
        <v>4</v>
      </c>
      <c r="L652" t="s">
        <v>27</v>
      </c>
      <c r="M652">
        <v>3</v>
      </c>
      <c r="N652">
        <v>21</v>
      </c>
      <c r="O652">
        <v>6</v>
      </c>
      <c r="P652">
        <v>4</v>
      </c>
      <c r="Q652" t="s">
        <v>27</v>
      </c>
    </row>
    <row r="653" spans="1:17" x14ac:dyDescent="0.3">
      <c r="A653" t="s">
        <v>698</v>
      </c>
      <c r="B653">
        <v>42</v>
      </c>
      <c r="C653" t="s">
        <v>35</v>
      </c>
      <c r="D653" t="s">
        <v>44</v>
      </c>
      <c r="E653" t="s">
        <v>45</v>
      </c>
      <c r="F653">
        <v>4553</v>
      </c>
      <c r="G653">
        <v>1</v>
      </c>
      <c r="H653" t="s">
        <v>21</v>
      </c>
      <c r="I653" t="s">
        <v>22</v>
      </c>
      <c r="J653">
        <v>2</v>
      </c>
      <c r="K653">
        <v>4</v>
      </c>
      <c r="L653" t="s">
        <v>23</v>
      </c>
      <c r="M653">
        <v>3</v>
      </c>
      <c r="N653">
        <v>12</v>
      </c>
      <c r="O653">
        <v>2</v>
      </c>
      <c r="P653">
        <v>2</v>
      </c>
      <c r="Q653" t="s">
        <v>27</v>
      </c>
    </row>
    <row r="654" spans="1:17" x14ac:dyDescent="0.3">
      <c r="A654" t="s">
        <v>699</v>
      </c>
      <c r="B654">
        <v>29</v>
      </c>
      <c r="C654" t="s">
        <v>18</v>
      </c>
      <c r="D654" t="s">
        <v>19</v>
      </c>
      <c r="E654" t="s">
        <v>36</v>
      </c>
      <c r="F654">
        <v>9086</v>
      </c>
      <c r="G654">
        <v>1</v>
      </c>
      <c r="H654" t="s">
        <v>33</v>
      </c>
      <c r="I654" t="s">
        <v>31</v>
      </c>
      <c r="J654">
        <v>4</v>
      </c>
      <c r="K654">
        <v>2</v>
      </c>
      <c r="L654" t="s">
        <v>23</v>
      </c>
      <c r="M654">
        <v>2</v>
      </c>
      <c r="N654">
        <v>4</v>
      </c>
      <c r="O654">
        <v>1</v>
      </c>
      <c r="P654">
        <v>1</v>
      </c>
      <c r="Q654" t="s">
        <v>27</v>
      </c>
    </row>
    <row r="655" spans="1:17" x14ac:dyDescent="0.3">
      <c r="A655" t="s">
        <v>700</v>
      </c>
      <c r="B655">
        <v>24</v>
      </c>
      <c r="C655" t="s">
        <v>35</v>
      </c>
      <c r="D655" t="s">
        <v>25</v>
      </c>
      <c r="E655" t="s">
        <v>26</v>
      </c>
      <c r="F655">
        <v>9180</v>
      </c>
      <c r="G655">
        <v>6</v>
      </c>
      <c r="H655" t="s">
        <v>21</v>
      </c>
      <c r="I655" t="s">
        <v>56</v>
      </c>
      <c r="J655">
        <v>2</v>
      </c>
      <c r="K655">
        <v>2</v>
      </c>
      <c r="L655" t="s">
        <v>27</v>
      </c>
      <c r="M655">
        <v>3</v>
      </c>
      <c r="N655">
        <v>28</v>
      </c>
      <c r="O655">
        <v>5</v>
      </c>
      <c r="P655">
        <v>1</v>
      </c>
      <c r="Q655" t="s">
        <v>27</v>
      </c>
    </row>
    <row r="656" spans="1:17" x14ac:dyDescent="0.3">
      <c r="A656" t="s">
        <v>701</v>
      </c>
      <c r="B656">
        <v>28</v>
      </c>
      <c r="C656" t="s">
        <v>35</v>
      </c>
      <c r="D656" t="s">
        <v>70</v>
      </c>
      <c r="E656" t="s">
        <v>71</v>
      </c>
      <c r="F656">
        <v>11376</v>
      </c>
      <c r="G656">
        <v>4</v>
      </c>
      <c r="H656" t="s">
        <v>33</v>
      </c>
      <c r="I656" t="s">
        <v>22</v>
      </c>
      <c r="J656">
        <v>1</v>
      </c>
      <c r="K656">
        <v>1</v>
      </c>
      <c r="L656" t="s">
        <v>27</v>
      </c>
      <c r="M656">
        <v>4</v>
      </c>
      <c r="N656">
        <v>13</v>
      </c>
      <c r="O656">
        <v>3</v>
      </c>
      <c r="P656">
        <v>3</v>
      </c>
      <c r="Q656" t="s">
        <v>23</v>
      </c>
    </row>
    <row r="657" spans="1:17" x14ac:dyDescent="0.3">
      <c r="A657" t="s">
        <v>702</v>
      </c>
      <c r="B657">
        <v>23</v>
      </c>
      <c r="C657" t="s">
        <v>18</v>
      </c>
      <c r="D657" t="s">
        <v>25</v>
      </c>
      <c r="E657" t="s">
        <v>26</v>
      </c>
      <c r="F657">
        <v>7300</v>
      </c>
      <c r="G657">
        <v>4</v>
      </c>
      <c r="H657" t="s">
        <v>21</v>
      </c>
      <c r="I657" t="s">
        <v>22</v>
      </c>
      <c r="J657">
        <v>2</v>
      </c>
      <c r="K657">
        <v>1</v>
      </c>
      <c r="L657" t="s">
        <v>23</v>
      </c>
      <c r="M657">
        <v>3</v>
      </c>
      <c r="N657">
        <v>16</v>
      </c>
      <c r="O657">
        <v>3</v>
      </c>
      <c r="P657">
        <v>2</v>
      </c>
      <c r="Q657" t="s">
        <v>23</v>
      </c>
    </row>
    <row r="658" spans="1:17" x14ac:dyDescent="0.3">
      <c r="A658" t="s">
        <v>703</v>
      </c>
      <c r="B658">
        <v>31</v>
      </c>
      <c r="C658" t="s">
        <v>18</v>
      </c>
      <c r="D658" t="s">
        <v>25</v>
      </c>
      <c r="E658" t="s">
        <v>26</v>
      </c>
      <c r="F658">
        <v>6493</v>
      </c>
      <c r="G658">
        <v>0</v>
      </c>
      <c r="H658" t="s">
        <v>21</v>
      </c>
      <c r="I658" t="s">
        <v>31</v>
      </c>
      <c r="J658">
        <v>1</v>
      </c>
      <c r="K658">
        <v>4</v>
      </c>
      <c r="L658" t="s">
        <v>27</v>
      </c>
      <c r="M658">
        <v>2</v>
      </c>
      <c r="N658">
        <v>23</v>
      </c>
      <c r="O658">
        <v>3</v>
      </c>
      <c r="P658">
        <v>1</v>
      </c>
      <c r="Q658" t="s">
        <v>23</v>
      </c>
    </row>
    <row r="659" spans="1:17" x14ac:dyDescent="0.3">
      <c r="A659" t="s">
        <v>704</v>
      </c>
      <c r="B659">
        <v>44</v>
      </c>
      <c r="C659" t="s">
        <v>18</v>
      </c>
      <c r="D659" t="s">
        <v>70</v>
      </c>
      <c r="E659" t="s">
        <v>144</v>
      </c>
      <c r="F659">
        <v>10898</v>
      </c>
      <c r="G659">
        <v>4</v>
      </c>
      <c r="H659" t="s">
        <v>37</v>
      </c>
      <c r="I659" t="s">
        <v>31</v>
      </c>
      <c r="J659">
        <v>2</v>
      </c>
      <c r="K659">
        <v>2</v>
      </c>
      <c r="L659" t="s">
        <v>27</v>
      </c>
      <c r="M659">
        <v>3</v>
      </c>
      <c r="N659">
        <v>14</v>
      </c>
      <c r="O659">
        <v>5</v>
      </c>
      <c r="P659">
        <v>2</v>
      </c>
      <c r="Q659" t="s">
        <v>23</v>
      </c>
    </row>
    <row r="660" spans="1:17" x14ac:dyDescent="0.3">
      <c r="A660" t="s">
        <v>705</v>
      </c>
      <c r="B660">
        <v>41</v>
      </c>
      <c r="C660" t="s">
        <v>35</v>
      </c>
      <c r="D660" t="s">
        <v>74</v>
      </c>
      <c r="E660" t="s">
        <v>75</v>
      </c>
      <c r="F660">
        <v>11118</v>
      </c>
      <c r="G660">
        <v>0</v>
      </c>
      <c r="H660" t="s">
        <v>37</v>
      </c>
      <c r="I660" t="s">
        <v>56</v>
      </c>
      <c r="J660">
        <v>1</v>
      </c>
      <c r="K660">
        <v>1</v>
      </c>
      <c r="L660" t="s">
        <v>27</v>
      </c>
      <c r="M660">
        <v>2</v>
      </c>
      <c r="N660">
        <v>17</v>
      </c>
      <c r="O660">
        <v>1</v>
      </c>
      <c r="P660">
        <v>3</v>
      </c>
      <c r="Q660" t="s">
        <v>27</v>
      </c>
    </row>
    <row r="661" spans="1:17" x14ac:dyDescent="0.3">
      <c r="A661" t="s">
        <v>706</v>
      </c>
      <c r="B661">
        <v>38</v>
      </c>
      <c r="C661" t="s">
        <v>18</v>
      </c>
      <c r="D661" t="s">
        <v>19</v>
      </c>
      <c r="E661" t="s">
        <v>40</v>
      </c>
      <c r="F661">
        <v>6531</v>
      </c>
      <c r="G661">
        <v>4</v>
      </c>
      <c r="H661" t="s">
        <v>37</v>
      </c>
      <c r="I661" t="s">
        <v>56</v>
      </c>
      <c r="J661">
        <v>2</v>
      </c>
      <c r="K661">
        <v>4</v>
      </c>
      <c r="L661" t="s">
        <v>23</v>
      </c>
      <c r="M661">
        <v>4</v>
      </c>
      <c r="N661">
        <v>8</v>
      </c>
      <c r="O661">
        <v>0</v>
      </c>
      <c r="P661">
        <v>2</v>
      </c>
      <c r="Q661" t="s">
        <v>27</v>
      </c>
    </row>
    <row r="662" spans="1:17" x14ac:dyDescent="0.3">
      <c r="A662" t="s">
        <v>707</v>
      </c>
      <c r="B662">
        <v>36</v>
      </c>
      <c r="C662" t="s">
        <v>18</v>
      </c>
      <c r="D662" t="s">
        <v>44</v>
      </c>
      <c r="E662" t="s">
        <v>45</v>
      </c>
      <c r="F662">
        <v>13171</v>
      </c>
      <c r="G662">
        <v>13</v>
      </c>
      <c r="H662" t="s">
        <v>37</v>
      </c>
      <c r="I662" t="s">
        <v>22</v>
      </c>
      <c r="J662">
        <v>4</v>
      </c>
      <c r="K662">
        <v>2</v>
      </c>
      <c r="L662" t="s">
        <v>27</v>
      </c>
      <c r="M662">
        <v>3</v>
      </c>
      <c r="N662">
        <v>29</v>
      </c>
      <c r="O662">
        <v>6</v>
      </c>
      <c r="P662">
        <v>4</v>
      </c>
      <c r="Q662" t="s">
        <v>27</v>
      </c>
    </row>
    <row r="663" spans="1:17" x14ac:dyDescent="0.3">
      <c r="A663" t="s">
        <v>708</v>
      </c>
      <c r="B663">
        <v>42</v>
      </c>
      <c r="C663" t="s">
        <v>35</v>
      </c>
      <c r="D663" t="s">
        <v>70</v>
      </c>
      <c r="E663" t="s">
        <v>20</v>
      </c>
      <c r="F663">
        <v>12034</v>
      </c>
      <c r="G663">
        <v>1</v>
      </c>
      <c r="H663" t="s">
        <v>21</v>
      </c>
      <c r="I663" t="s">
        <v>31</v>
      </c>
      <c r="J663">
        <v>3</v>
      </c>
      <c r="K663">
        <v>3</v>
      </c>
      <c r="L663" t="s">
        <v>27</v>
      </c>
      <c r="M663">
        <v>1</v>
      </c>
      <c r="N663">
        <v>25</v>
      </c>
      <c r="O663">
        <v>0</v>
      </c>
      <c r="P663">
        <v>1</v>
      </c>
      <c r="Q663" t="s">
        <v>27</v>
      </c>
    </row>
    <row r="664" spans="1:17" x14ac:dyDescent="0.3">
      <c r="A664" t="s">
        <v>709</v>
      </c>
      <c r="B664">
        <v>21</v>
      </c>
      <c r="C664" t="s">
        <v>35</v>
      </c>
      <c r="D664" t="s">
        <v>25</v>
      </c>
      <c r="E664" t="s">
        <v>26</v>
      </c>
      <c r="F664">
        <v>7698</v>
      </c>
      <c r="G664">
        <v>0</v>
      </c>
      <c r="H664" t="s">
        <v>21</v>
      </c>
      <c r="I664" t="s">
        <v>31</v>
      </c>
      <c r="J664">
        <v>4</v>
      </c>
      <c r="K664">
        <v>1</v>
      </c>
      <c r="L664" t="s">
        <v>27</v>
      </c>
      <c r="M664">
        <v>3</v>
      </c>
      <c r="N664">
        <v>22</v>
      </c>
      <c r="O664">
        <v>4</v>
      </c>
      <c r="P664">
        <v>3</v>
      </c>
      <c r="Q664" t="s">
        <v>27</v>
      </c>
    </row>
    <row r="665" spans="1:17" x14ac:dyDescent="0.3">
      <c r="A665" t="s">
        <v>710</v>
      </c>
      <c r="B665">
        <v>38</v>
      </c>
      <c r="C665" t="s">
        <v>35</v>
      </c>
      <c r="D665" t="s">
        <v>70</v>
      </c>
      <c r="E665" t="s">
        <v>144</v>
      </c>
      <c r="F665">
        <v>9818</v>
      </c>
      <c r="G665">
        <v>8</v>
      </c>
      <c r="H665" t="s">
        <v>37</v>
      </c>
      <c r="I665" t="s">
        <v>22</v>
      </c>
      <c r="J665">
        <v>1</v>
      </c>
      <c r="K665">
        <v>3</v>
      </c>
      <c r="L665" t="s">
        <v>23</v>
      </c>
      <c r="M665">
        <v>2</v>
      </c>
      <c r="N665">
        <v>29</v>
      </c>
      <c r="O665">
        <v>3</v>
      </c>
      <c r="P665">
        <v>3</v>
      </c>
      <c r="Q665" t="s">
        <v>27</v>
      </c>
    </row>
    <row r="666" spans="1:17" x14ac:dyDescent="0.3">
      <c r="A666" t="s">
        <v>711</v>
      </c>
      <c r="B666">
        <v>48</v>
      </c>
      <c r="C666" t="s">
        <v>35</v>
      </c>
      <c r="D666" t="s">
        <v>44</v>
      </c>
      <c r="E666" t="s">
        <v>45</v>
      </c>
      <c r="F666">
        <v>7759</v>
      </c>
      <c r="G666">
        <v>2</v>
      </c>
      <c r="H666" t="s">
        <v>37</v>
      </c>
      <c r="I666" t="s">
        <v>22</v>
      </c>
      <c r="J666">
        <v>2</v>
      </c>
      <c r="K666">
        <v>2</v>
      </c>
      <c r="L666" t="s">
        <v>27</v>
      </c>
      <c r="M666">
        <v>3</v>
      </c>
      <c r="N666">
        <v>20</v>
      </c>
      <c r="O666">
        <v>0</v>
      </c>
      <c r="P666">
        <v>3</v>
      </c>
      <c r="Q666" t="s">
        <v>27</v>
      </c>
    </row>
    <row r="667" spans="1:17" x14ac:dyDescent="0.3">
      <c r="A667" t="s">
        <v>712</v>
      </c>
      <c r="B667">
        <v>32</v>
      </c>
      <c r="C667" t="s">
        <v>18</v>
      </c>
      <c r="D667" t="s">
        <v>25</v>
      </c>
      <c r="E667" t="s">
        <v>26</v>
      </c>
      <c r="F667">
        <v>6270</v>
      </c>
      <c r="G667">
        <v>0</v>
      </c>
      <c r="H667" t="s">
        <v>37</v>
      </c>
      <c r="I667" t="s">
        <v>31</v>
      </c>
      <c r="J667">
        <v>1</v>
      </c>
      <c r="K667">
        <v>2</v>
      </c>
      <c r="L667" t="s">
        <v>23</v>
      </c>
      <c r="M667">
        <v>3</v>
      </c>
      <c r="N667">
        <v>19</v>
      </c>
      <c r="O667">
        <v>2</v>
      </c>
      <c r="P667">
        <v>3</v>
      </c>
      <c r="Q667" t="s">
        <v>23</v>
      </c>
    </row>
    <row r="668" spans="1:17" x14ac:dyDescent="0.3">
      <c r="A668" t="s">
        <v>713</v>
      </c>
      <c r="B668">
        <v>19</v>
      </c>
      <c r="C668" t="s">
        <v>18</v>
      </c>
      <c r="D668" t="s">
        <v>19</v>
      </c>
      <c r="E668" t="s">
        <v>36</v>
      </c>
      <c r="F668">
        <v>5299</v>
      </c>
      <c r="G668">
        <v>1</v>
      </c>
      <c r="H668" t="s">
        <v>21</v>
      </c>
      <c r="I668" t="s">
        <v>22</v>
      </c>
      <c r="J668">
        <v>2</v>
      </c>
      <c r="K668">
        <v>3</v>
      </c>
      <c r="L668" t="s">
        <v>27</v>
      </c>
      <c r="M668">
        <v>3</v>
      </c>
      <c r="N668">
        <v>13</v>
      </c>
      <c r="O668">
        <v>1</v>
      </c>
      <c r="P668">
        <v>4</v>
      </c>
      <c r="Q668" t="s">
        <v>27</v>
      </c>
    </row>
    <row r="669" spans="1:17" x14ac:dyDescent="0.3">
      <c r="A669" t="s">
        <v>714</v>
      </c>
      <c r="B669">
        <v>30</v>
      </c>
      <c r="C669" t="s">
        <v>18</v>
      </c>
      <c r="D669" t="s">
        <v>25</v>
      </c>
      <c r="E669" t="s">
        <v>26</v>
      </c>
      <c r="F669">
        <v>7319</v>
      </c>
      <c r="G669">
        <v>2</v>
      </c>
      <c r="H669" t="s">
        <v>33</v>
      </c>
      <c r="I669" t="s">
        <v>22</v>
      </c>
      <c r="J669">
        <v>2</v>
      </c>
      <c r="K669">
        <v>4</v>
      </c>
      <c r="L669" t="s">
        <v>27</v>
      </c>
      <c r="M669">
        <v>3</v>
      </c>
      <c r="N669">
        <v>10</v>
      </c>
      <c r="O669">
        <v>6</v>
      </c>
      <c r="P669">
        <v>3</v>
      </c>
      <c r="Q669" t="s">
        <v>23</v>
      </c>
    </row>
    <row r="670" spans="1:17" x14ac:dyDescent="0.3">
      <c r="A670" t="s">
        <v>715</v>
      </c>
      <c r="B670">
        <v>25</v>
      </c>
      <c r="C670" t="s">
        <v>35</v>
      </c>
      <c r="D670" t="s">
        <v>19</v>
      </c>
      <c r="E670" t="s">
        <v>20</v>
      </c>
      <c r="F670">
        <v>14685</v>
      </c>
      <c r="G670">
        <v>4</v>
      </c>
      <c r="H670" t="s">
        <v>33</v>
      </c>
      <c r="I670" t="s">
        <v>22</v>
      </c>
      <c r="J670">
        <v>3</v>
      </c>
      <c r="K670">
        <v>1</v>
      </c>
      <c r="L670" t="s">
        <v>27</v>
      </c>
      <c r="M670">
        <v>3</v>
      </c>
      <c r="N670">
        <v>16</v>
      </c>
      <c r="O670">
        <v>6</v>
      </c>
      <c r="P670">
        <v>2</v>
      </c>
      <c r="Q670" t="s">
        <v>27</v>
      </c>
    </row>
    <row r="671" spans="1:17" x14ac:dyDescent="0.3">
      <c r="A671" t="s">
        <v>716</v>
      </c>
      <c r="B671">
        <v>26</v>
      </c>
      <c r="C671" t="s">
        <v>35</v>
      </c>
      <c r="D671" t="s">
        <v>74</v>
      </c>
      <c r="E671" t="s">
        <v>75</v>
      </c>
      <c r="F671">
        <v>8815</v>
      </c>
      <c r="G671">
        <v>5</v>
      </c>
      <c r="H671" t="s">
        <v>21</v>
      </c>
      <c r="I671" t="s">
        <v>31</v>
      </c>
      <c r="J671">
        <v>4</v>
      </c>
      <c r="K671">
        <v>3</v>
      </c>
      <c r="L671" t="s">
        <v>27</v>
      </c>
      <c r="M671">
        <v>3</v>
      </c>
      <c r="N671">
        <v>15</v>
      </c>
      <c r="O671">
        <v>6</v>
      </c>
      <c r="P671">
        <v>1</v>
      </c>
      <c r="Q671" t="s">
        <v>27</v>
      </c>
    </row>
    <row r="672" spans="1:17" x14ac:dyDescent="0.3">
      <c r="A672" t="s">
        <v>717</v>
      </c>
      <c r="B672">
        <v>40</v>
      </c>
      <c r="C672" t="s">
        <v>18</v>
      </c>
      <c r="D672" t="s">
        <v>74</v>
      </c>
      <c r="E672" t="s">
        <v>75</v>
      </c>
      <c r="F672">
        <v>13079</v>
      </c>
      <c r="G672">
        <v>9</v>
      </c>
      <c r="H672" t="s">
        <v>21</v>
      </c>
      <c r="I672" t="s">
        <v>22</v>
      </c>
      <c r="J672">
        <v>4</v>
      </c>
      <c r="K672">
        <v>4</v>
      </c>
      <c r="L672" t="s">
        <v>23</v>
      </c>
      <c r="M672">
        <v>3</v>
      </c>
      <c r="N672">
        <v>28</v>
      </c>
      <c r="O672">
        <v>1</v>
      </c>
      <c r="P672">
        <v>1</v>
      </c>
      <c r="Q672" t="s">
        <v>27</v>
      </c>
    </row>
    <row r="673" spans="1:17" x14ac:dyDescent="0.3">
      <c r="A673" t="s">
        <v>718</v>
      </c>
      <c r="B673">
        <v>34</v>
      </c>
      <c r="C673" t="s">
        <v>35</v>
      </c>
      <c r="D673" t="s">
        <v>19</v>
      </c>
      <c r="E673" t="s">
        <v>20</v>
      </c>
      <c r="F673">
        <v>16592</v>
      </c>
      <c r="G673">
        <v>7</v>
      </c>
      <c r="H673" t="s">
        <v>21</v>
      </c>
      <c r="I673" t="s">
        <v>31</v>
      </c>
      <c r="J673">
        <v>2</v>
      </c>
      <c r="K673">
        <v>4</v>
      </c>
      <c r="L673" t="s">
        <v>23</v>
      </c>
      <c r="M673">
        <v>2</v>
      </c>
      <c r="N673">
        <v>23</v>
      </c>
      <c r="O673">
        <v>5</v>
      </c>
      <c r="P673">
        <v>4</v>
      </c>
      <c r="Q673" t="s">
        <v>27</v>
      </c>
    </row>
    <row r="674" spans="1:17" x14ac:dyDescent="0.3">
      <c r="A674" t="s">
        <v>719</v>
      </c>
      <c r="B674">
        <v>41</v>
      </c>
      <c r="C674" t="s">
        <v>18</v>
      </c>
      <c r="D674" t="s">
        <v>29</v>
      </c>
      <c r="E674" t="s">
        <v>49</v>
      </c>
      <c r="F674">
        <v>8078</v>
      </c>
      <c r="G674">
        <v>1</v>
      </c>
      <c r="H674" t="s">
        <v>37</v>
      </c>
      <c r="I674" t="s">
        <v>31</v>
      </c>
      <c r="J674">
        <v>4</v>
      </c>
      <c r="K674">
        <v>1</v>
      </c>
      <c r="L674" t="s">
        <v>27</v>
      </c>
      <c r="M674">
        <v>3</v>
      </c>
      <c r="N674">
        <v>12</v>
      </c>
      <c r="O674">
        <v>2</v>
      </c>
      <c r="P674">
        <v>3</v>
      </c>
      <c r="Q674" t="s">
        <v>27</v>
      </c>
    </row>
    <row r="675" spans="1:17" x14ac:dyDescent="0.3">
      <c r="A675" t="s">
        <v>720</v>
      </c>
      <c r="B675">
        <v>39</v>
      </c>
      <c r="C675" t="s">
        <v>18</v>
      </c>
      <c r="D675" t="s">
        <v>19</v>
      </c>
      <c r="E675" t="s">
        <v>20</v>
      </c>
      <c r="F675">
        <v>16165</v>
      </c>
      <c r="G675">
        <v>5</v>
      </c>
      <c r="H675" t="s">
        <v>37</v>
      </c>
      <c r="I675" t="s">
        <v>31</v>
      </c>
      <c r="J675">
        <v>3</v>
      </c>
      <c r="K675">
        <v>4</v>
      </c>
      <c r="L675" t="s">
        <v>23</v>
      </c>
      <c r="M675">
        <v>3</v>
      </c>
      <c r="N675">
        <v>28</v>
      </c>
      <c r="O675">
        <v>6</v>
      </c>
      <c r="P675">
        <v>2</v>
      </c>
      <c r="Q675" t="s">
        <v>27</v>
      </c>
    </row>
    <row r="676" spans="1:17" x14ac:dyDescent="0.3">
      <c r="A676" t="s">
        <v>721</v>
      </c>
      <c r="B676">
        <v>38</v>
      </c>
      <c r="C676" t="s">
        <v>35</v>
      </c>
      <c r="D676" t="s">
        <v>29</v>
      </c>
      <c r="E676" t="s">
        <v>30</v>
      </c>
      <c r="F676">
        <v>7536</v>
      </c>
      <c r="G676">
        <v>3</v>
      </c>
      <c r="H676" t="s">
        <v>46</v>
      </c>
      <c r="I676" t="s">
        <v>31</v>
      </c>
      <c r="J676">
        <v>2</v>
      </c>
      <c r="K676">
        <v>1</v>
      </c>
      <c r="L676" t="s">
        <v>23</v>
      </c>
      <c r="M676">
        <v>2</v>
      </c>
      <c r="N676">
        <v>6</v>
      </c>
      <c r="O676">
        <v>2</v>
      </c>
      <c r="P676">
        <v>4</v>
      </c>
      <c r="Q676" t="s">
        <v>27</v>
      </c>
    </row>
    <row r="677" spans="1:17" x14ac:dyDescent="0.3">
      <c r="A677" t="s">
        <v>722</v>
      </c>
      <c r="B677">
        <v>42</v>
      </c>
      <c r="C677" t="s">
        <v>35</v>
      </c>
      <c r="D677" t="s">
        <v>74</v>
      </c>
      <c r="E677" t="s">
        <v>75</v>
      </c>
      <c r="F677">
        <v>9600</v>
      </c>
      <c r="G677">
        <v>5</v>
      </c>
      <c r="H677" t="s">
        <v>46</v>
      </c>
      <c r="I677" t="s">
        <v>56</v>
      </c>
      <c r="J677">
        <v>4</v>
      </c>
      <c r="K677">
        <v>3</v>
      </c>
      <c r="L677" t="s">
        <v>27</v>
      </c>
      <c r="M677">
        <v>2</v>
      </c>
      <c r="N677">
        <v>25</v>
      </c>
      <c r="O677">
        <v>0</v>
      </c>
      <c r="P677">
        <v>4</v>
      </c>
      <c r="Q677" t="s">
        <v>27</v>
      </c>
    </row>
    <row r="678" spans="1:17" x14ac:dyDescent="0.3">
      <c r="A678" t="s">
        <v>723</v>
      </c>
      <c r="B678">
        <v>19</v>
      </c>
      <c r="C678" t="s">
        <v>35</v>
      </c>
      <c r="D678" t="s">
        <v>19</v>
      </c>
      <c r="E678" t="s">
        <v>40</v>
      </c>
      <c r="F678">
        <v>6899</v>
      </c>
      <c r="G678">
        <v>1</v>
      </c>
      <c r="H678" t="s">
        <v>21</v>
      </c>
      <c r="I678" t="s">
        <v>31</v>
      </c>
      <c r="J678">
        <v>4</v>
      </c>
      <c r="K678">
        <v>1</v>
      </c>
      <c r="L678" t="s">
        <v>23</v>
      </c>
      <c r="M678">
        <v>3</v>
      </c>
      <c r="N678">
        <v>14</v>
      </c>
      <c r="O678">
        <v>4</v>
      </c>
      <c r="P678">
        <v>4</v>
      </c>
      <c r="Q678" t="s">
        <v>23</v>
      </c>
    </row>
    <row r="679" spans="1:17" x14ac:dyDescent="0.3">
      <c r="A679" t="s">
        <v>724</v>
      </c>
      <c r="B679">
        <v>30</v>
      </c>
      <c r="C679" t="s">
        <v>35</v>
      </c>
      <c r="D679" t="s">
        <v>29</v>
      </c>
      <c r="E679" t="s">
        <v>30</v>
      </c>
      <c r="F679">
        <v>8007</v>
      </c>
      <c r="G679">
        <v>5</v>
      </c>
      <c r="H679" t="s">
        <v>37</v>
      </c>
      <c r="I679" t="s">
        <v>31</v>
      </c>
      <c r="J679">
        <v>1</v>
      </c>
      <c r="K679">
        <v>2</v>
      </c>
      <c r="L679" t="s">
        <v>27</v>
      </c>
      <c r="M679">
        <v>2</v>
      </c>
      <c r="N679">
        <v>9</v>
      </c>
      <c r="O679">
        <v>4</v>
      </c>
      <c r="P679">
        <v>1</v>
      </c>
      <c r="Q679" t="s">
        <v>27</v>
      </c>
    </row>
    <row r="680" spans="1:17" x14ac:dyDescent="0.3">
      <c r="A680" t="s">
        <v>725</v>
      </c>
      <c r="B680">
        <v>38</v>
      </c>
      <c r="C680" t="s">
        <v>18</v>
      </c>
      <c r="D680" t="s">
        <v>74</v>
      </c>
      <c r="E680" t="s">
        <v>75</v>
      </c>
      <c r="F680">
        <v>6997</v>
      </c>
      <c r="G680">
        <v>3</v>
      </c>
      <c r="H680" t="s">
        <v>37</v>
      </c>
      <c r="I680" t="s">
        <v>31</v>
      </c>
      <c r="J680">
        <v>4</v>
      </c>
      <c r="K680">
        <v>3</v>
      </c>
      <c r="L680" t="s">
        <v>27</v>
      </c>
      <c r="M680">
        <v>3</v>
      </c>
      <c r="N680">
        <v>15</v>
      </c>
      <c r="O680">
        <v>6</v>
      </c>
      <c r="P680">
        <v>4</v>
      </c>
      <c r="Q680" t="s">
        <v>27</v>
      </c>
    </row>
    <row r="681" spans="1:17" x14ac:dyDescent="0.3">
      <c r="A681" t="s">
        <v>726</v>
      </c>
      <c r="B681">
        <v>32</v>
      </c>
      <c r="C681" t="s">
        <v>35</v>
      </c>
      <c r="D681" t="s">
        <v>25</v>
      </c>
      <c r="E681" t="s">
        <v>61</v>
      </c>
      <c r="F681">
        <v>8133</v>
      </c>
      <c r="G681">
        <v>1</v>
      </c>
      <c r="H681" t="s">
        <v>21</v>
      </c>
      <c r="I681" t="s">
        <v>31</v>
      </c>
      <c r="J681">
        <v>2</v>
      </c>
      <c r="K681">
        <v>1</v>
      </c>
      <c r="L681" t="s">
        <v>27</v>
      </c>
      <c r="M681">
        <v>1</v>
      </c>
      <c r="N681">
        <v>19</v>
      </c>
      <c r="O681">
        <v>2</v>
      </c>
      <c r="P681">
        <v>4</v>
      </c>
      <c r="Q681" t="s">
        <v>27</v>
      </c>
    </row>
    <row r="682" spans="1:17" x14ac:dyDescent="0.3">
      <c r="A682" t="s">
        <v>727</v>
      </c>
      <c r="B682">
        <v>40</v>
      </c>
      <c r="C682" t="s">
        <v>18</v>
      </c>
      <c r="D682" t="s">
        <v>25</v>
      </c>
      <c r="E682" t="s">
        <v>26</v>
      </c>
      <c r="F682">
        <v>11317</v>
      </c>
      <c r="G682">
        <v>1</v>
      </c>
      <c r="H682" t="s">
        <v>46</v>
      </c>
      <c r="I682" t="s">
        <v>31</v>
      </c>
      <c r="J682">
        <v>2</v>
      </c>
      <c r="K682">
        <v>3</v>
      </c>
      <c r="L682" t="s">
        <v>27</v>
      </c>
      <c r="M682">
        <v>3</v>
      </c>
      <c r="N682">
        <v>6</v>
      </c>
      <c r="O682">
        <v>3</v>
      </c>
      <c r="P682">
        <v>3</v>
      </c>
      <c r="Q682" t="s">
        <v>27</v>
      </c>
    </row>
    <row r="683" spans="1:17" x14ac:dyDescent="0.3">
      <c r="A683" t="s">
        <v>728</v>
      </c>
      <c r="B683">
        <v>30</v>
      </c>
      <c r="C683" t="s">
        <v>18</v>
      </c>
      <c r="D683" t="s">
        <v>25</v>
      </c>
      <c r="E683" t="s">
        <v>26</v>
      </c>
      <c r="F683">
        <v>9010</v>
      </c>
      <c r="G683">
        <v>4</v>
      </c>
      <c r="H683" t="s">
        <v>37</v>
      </c>
      <c r="I683" t="s">
        <v>22</v>
      </c>
      <c r="J683">
        <v>4</v>
      </c>
      <c r="K683">
        <v>4</v>
      </c>
      <c r="L683" t="s">
        <v>23</v>
      </c>
      <c r="M683">
        <v>3</v>
      </c>
      <c r="N683">
        <v>18</v>
      </c>
      <c r="O683">
        <v>4</v>
      </c>
      <c r="P683">
        <v>2</v>
      </c>
      <c r="Q683" t="s">
        <v>27</v>
      </c>
    </row>
    <row r="684" spans="1:17" x14ac:dyDescent="0.3">
      <c r="A684" t="s">
        <v>729</v>
      </c>
      <c r="B684">
        <v>36</v>
      </c>
      <c r="C684" t="s">
        <v>18</v>
      </c>
      <c r="D684" t="s">
        <v>19</v>
      </c>
      <c r="E684" t="s">
        <v>40</v>
      </c>
      <c r="F684">
        <v>6996</v>
      </c>
      <c r="G684">
        <v>8</v>
      </c>
      <c r="H684" t="s">
        <v>37</v>
      </c>
      <c r="I684" t="s">
        <v>56</v>
      </c>
      <c r="J684">
        <v>4</v>
      </c>
      <c r="K684">
        <v>4</v>
      </c>
      <c r="L684" t="s">
        <v>27</v>
      </c>
      <c r="M684">
        <v>4</v>
      </c>
      <c r="N684">
        <v>29</v>
      </c>
      <c r="O684">
        <v>6</v>
      </c>
      <c r="P684">
        <v>2</v>
      </c>
      <c r="Q684" t="s">
        <v>27</v>
      </c>
    </row>
    <row r="685" spans="1:17" x14ac:dyDescent="0.3">
      <c r="A685" t="s">
        <v>730</v>
      </c>
      <c r="B685">
        <v>31</v>
      </c>
      <c r="C685" t="s">
        <v>18</v>
      </c>
      <c r="D685" t="s">
        <v>19</v>
      </c>
      <c r="E685" t="s">
        <v>40</v>
      </c>
      <c r="F685">
        <v>10065</v>
      </c>
      <c r="G685">
        <v>2</v>
      </c>
      <c r="H685" t="s">
        <v>37</v>
      </c>
      <c r="I685" t="s">
        <v>31</v>
      </c>
      <c r="J685">
        <v>4</v>
      </c>
      <c r="K685">
        <v>4</v>
      </c>
      <c r="L685" t="s">
        <v>27</v>
      </c>
      <c r="M685">
        <v>3</v>
      </c>
      <c r="N685">
        <v>16</v>
      </c>
      <c r="O685">
        <v>4</v>
      </c>
      <c r="P685">
        <v>1</v>
      </c>
      <c r="Q685" t="s">
        <v>27</v>
      </c>
    </row>
    <row r="686" spans="1:17" x14ac:dyDescent="0.3">
      <c r="A686" t="s">
        <v>731</v>
      </c>
      <c r="B686">
        <v>34</v>
      </c>
      <c r="C686" t="s">
        <v>35</v>
      </c>
      <c r="D686" t="s">
        <v>74</v>
      </c>
      <c r="E686" t="s">
        <v>75</v>
      </c>
      <c r="F686">
        <v>7169</v>
      </c>
      <c r="G686">
        <v>1</v>
      </c>
      <c r="H686" t="s">
        <v>21</v>
      </c>
      <c r="I686" t="s">
        <v>31</v>
      </c>
      <c r="J686">
        <v>4</v>
      </c>
      <c r="K686">
        <v>2</v>
      </c>
      <c r="L686" t="s">
        <v>27</v>
      </c>
      <c r="M686">
        <v>3</v>
      </c>
      <c r="N686">
        <v>5</v>
      </c>
      <c r="O686">
        <v>5</v>
      </c>
      <c r="P686">
        <v>1</v>
      </c>
      <c r="Q686" t="s">
        <v>27</v>
      </c>
    </row>
    <row r="687" spans="1:17" x14ac:dyDescent="0.3">
      <c r="A687" t="s">
        <v>732</v>
      </c>
      <c r="B687">
        <v>34</v>
      </c>
      <c r="C687" t="s">
        <v>35</v>
      </c>
      <c r="D687" t="s">
        <v>74</v>
      </c>
      <c r="E687" t="s">
        <v>75</v>
      </c>
      <c r="F687">
        <v>5100</v>
      </c>
      <c r="G687">
        <v>3</v>
      </c>
      <c r="H687" t="s">
        <v>33</v>
      </c>
      <c r="I687" t="s">
        <v>22</v>
      </c>
      <c r="J687">
        <v>2</v>
      </c>
      <c r="K687">
        <v>1</v>
      </c>
      <c r="L687" t="s">
        <v>27</v>
      </c>
      <c r="M687">
        <v>4</v>
      </c>
      <c r="N687">
        <v>25</v>
      </c>
      <c r="O687">
        <v>4</v>
      </c>
      <c r="P687">
        <v>1</v>
      </c>
      <c r="Q687" t="s">
        <v>23</v>
      </c>
    </row>
    <row r="688" spans="1:17" x14ac:dyDescent="0.3">
      <c r="A688" t="s">
        <v>733</v>
      </c>
      <c r="B688">
        <v>34</v>
      </c>
      <c r="C688" t="s">
        <v>35</v>
      </c>
      <c r="D688" t="s">
        <v>19</v>
      </c>
      <c r="E688" t="s">
        <v>40</v>
      </c>
      <c r="F688">
        <v>11379</v>
      </c>
      <c r="G688">
        <v>6</v>
      </c>
      <c r="H688" t="s">
        <v>37</v>
      </c>
      <c r="I688" t="s">
        <v>31</v>
      </c>
      <c r="J688">
        <v>4</v>
      </c>
      <c r="K688">
        <v>4</v>
      </c>
      <c r="L688" t="s">
        <v>23</v>
      </c>
      <c r="M688">
        <v>3</v>
      </c>
      <c r="N688">
        <v>17</v>
      </c>
      <c r="O688">
        <v>6</v>
      </c>
      <c r="P688">
        <v>3</v>
      </c>
      <c r="Q688" t="s">
        <v>27</v>
      </c>
    </row>
    <row r="689" spans="1:17" x14ac:dyDescent="0.3">
      <c r="A689" t="s">
        <v>734</v>
      </c>
      <c r="B689">
        <v>45</v>
      </c>
      <c r="C689" t="s">
        <v>18</v>
      </c>
      <c r="D689" t="s">
        <v>19</v>
      </c>
      <c r="E689" t="s">
        <v>36</v>
      </c>
      <c r="F689">
        <v>6913</v>
      </c>
      <c r="G689">
        <v>6</v>
      </c>
      <c r="H689" t="s">
        <v>21</v>
      </c>
      <c r="I689" t="s">
        <v>22</v>
      </c>
      <c r="J689">
        <v>2</v>
      </c>
      <c r="K689">
        <v>3</v>
      </c>
      <c r="L689" t="s">
        <v>27</v>
      </c>
      <c r="M689">
        <v>3</v>
      </c>
      <c r="N689">
        <v>18</v>
      </c>
      <c r="O689">
        <v>2</v>
      </c>
      <c r="P689">
        <v>3</v>
      </c>
      <c r="Q689" t="s">
        <v>23</v>
      </c>
    </row>
    <row r="690" spans="1:17" x14ac:dyDescent="0.3">
      <c r="A690" t="s">
        <v>735</v>
      </c>
      <c r="B690">
        <v>42</v>
      </c>
      <c r="C690" t="s">
        <v>18</v>
      </c>
      <c r="D690" t="s">
        <v>19</v>
      </c>
      <c r="E690" t="s">
        <v>36</v>
      </c>
      <c r="F690">
        <v>8775</v>
      </c>
      <c r="G690">
        <v>2</v>
      </c>
      <c r="H690" t="s">
        <v>37</v>
      </c>
      <c r="I690" t="s">
        <v>31</v>
      </c>
      <c r="J690">
        <v>1</v>
      </c>
      <c r="K690">
        <v>4</v>
      </c>
      <c r="L690" t="s">
        <v>27</v>
      </c>
      <c r="M690">
        <v>2</v>
      </c>
      <c r="N690">
        <v>28</v>
      </c>
      <c r="O690">
        <v>4</v>
      </c>
      <c r="P690">
        <v>2</v>
      </c>
      <c r="Q690" t="s">
        <v>27</v>
      </c>
    </row>
    <row r="691" spans="1:17" x14ac:dyDescent="0.3">
      <c r="A691" t="s">
        <v>736</v>
      </c>
      <c r="B691">
        <v>22</v>
      </c>
      <c r="C691" t="s">
        <v>35</v>
      </c>
      <c r="D691" t="s">
        <v>44</v>
      </c>
      <c r="E691" t="s">
        <v>45</v>
      </c>
      <c r="F691">
        <v>7114</v>
      </c>
      <c r="G691">
        <v>4</v>
      </c>
      <c r="H691" t="s">
        <v>37</v>
      </c>
      <c r="I691" t="s">
        <v>22</v>
      </c>
      <c r="J691">
        <v>4</v>
      </c>
      <c r="K691">
        <v>1</v>
      </c>
      <c r="L691" t="s">
        <v>27</v>
      </c>
      <c r="M691">
        <v>3</v>
      </c>
      <c r="N691">
        <v>19</v>
      </c>
      <c r="O691">
        <v>2</v>
      </c>
      <c r="P691">
        <v>2</v>
      </c>
      <c r="Q691" t="s">
        <v>27</v>
      </c>
    </row>
    <row r="692" spans="1:17" x14ac:dyDescent="0.3">
      <c r="A692" t="s">
        <v>737</v>
      </c>
      <c r="B692">
        <v>35</v>
      </c>
      <c r="C692" t="s">
        <v>35</v>
      </c>
      <c r="D692" t="s">
        <v>74</v>
      </c>
      <c r="E692" t="s">
        <v>99</v>
      </c>
      <c r="F692">
        <v>8384</v>
      </c>
      <c r="G692">
        <v>5</v>
      </c>
      <c r="H692" t="s">
        <v>21</v>
      </c>
      <c r="I692" t="s">
        <v>22</v>
      </c>
      <c r="J692">
        <v>3</v>
      </c>
      <c r="K692">
        <v>3</v>
      </c>
      <c r="L692" t="s">
        <v>27</v>
      </c>
      <c r="M692">
        <v>3</v>
      </c>
      <c r="N692">
        <v>24</v>
      </c>
      <c r="O692">
        <v>3</v>
      </c>
      <c r="P692">
        <v>4</v>
      </c>
      <c r="Q692" t="s">
        <v>27</v>
      </c>
    </row>
    <row r="693" spans="1:17" x14ac:dyDescent="0.3">
      <c r="A693" t="s">
        <v>738</v>
      </c>
      <c r="B693">
        <v>41</v>
      </c>
      <c r="C693" t="s">
        <v>18</v>
      </c>
      <c r="D693" t="s">
        <v>70</v>
      </c>
      <c r="E693" t="s">
        <v>71</v>
      </c>
      <c r="F693">
        <v>7127</v>
      </c>
      <c r="G693">
        <v>0</v>
      </c>
      <c r="H693" t="s">
        <v>46</v>
      </c>
      <c r="I693" t="s">
        <v>22</v>
      </c>
      <c r="J693">
        <v>4</v>
      </c>
      <c r="K693">
        <v>4</v>
      </c>
      <c r="L693" t="s">
        <v>27</v>
      </c>
      <c r="M693">
        <v>3</v>
      </c>
      <c r="N693">
        <v>19</v>
      </c>
      <c r="O693">
        <v>5</v>
      </c>
      <c r="P693">
        <v>3</v>
      </c>
      <c r="Q693" t="s">
        <v>27</v>
      </c>
    </row>
    <row r="694" spans="1:17" x14ac:dyDescent="0.3">
      <c r="A694" t="s">
        <v>739</v>
      </c>
      <c r="B694">
        <v>29</v>
      </c>
      <c r="C694" t="s">
        <v>35</v>
      </c>
      <c r="D694" t="s">
        <v>44</v>
      </c>
      <c r="E694" t="s">
        <v>54</v>
      </c>
      <c r="F694">
        <v>11229</v>
      </c>
      <c r="G694">
        <v>10</v>
      </c>
      <c r="H694" t="s">
        <v>46</v>
      </c>
      <c r="I694" t="s">
        <v>31</v>
      </c>
      <c r="J694">
        <v>4</v>
      </c>
      <c r="K694">
        <v>3</v>
      </c>
      <c r="L694" t="s">
        <v>27</v>
      </c>
      <c r="M694">
        <v>3</v>
      </c>
      <c r="N694">
        <v>21</v>
      </c>
      <c r="O694">
        <v>4</v>
      </c>
      <c r="P694">
        <v>2</v>
      </c>
      <c r="Q694" t="s">
        <v>27</v>
      </c>
    </row>
    <row r="695" spans="1:17" x14ac:dyDescent="0.3">
      <c r="A695" t="s">
        <v>740</v>
      </c>
      <c r="B695">
        <v>25</v>
      </c>
      <c r="C695" t="s">
        <v>18</v>
      </c>
      <c r="D695" t="s">
        <v>19</v>
      </c>
      <c r="E695" t="s">
        <v>36</v>
      </c>
      <c r="F695">
        <v>8056</v>
      </c>
      <c r="G695">
        <v>3</v>
      </c>
      <c r="H695" t="s">
        <v>37</v>
      </c>
      <c r="I695" t="s">
        <v>31</v>
      </c>
      <c r="J695">
        <v>3</v>
      </c>
      <c r="K695">
        <v>2</v>
      </c>
      <c r="L695" t="s">
        <v>23</v>
      </c>
      <c r="M695">
        <v>3</v>
      </c>
      <c r="N695">
        <v>17</v>
      </c>
      <c r="O695">
        <v>6</v>
      </c>
      <c r="P695">
        <v>2</v>
      </c>
      <c r="Q695" t="s">
        <v>23</v>
      </c>
    </row>
    <row r="696" spans="1:17" x14ac:dyDescent="0.3">
      <c r="A696" t="s">
        <v>741</v>
      </c>
      <c r="B696">
        <v>37</v>
      </c>
      <c r="C696" t="s">
        <v>18</v>
      </c>
      <c r="D696" t="s">
        <v>25</v>
      </c>
      <c r="E696" t="s">
        <v>26</v>
      </c>
      <c r="F696">
        <v>7986</v>
      </c>
      <c r="G696">
        <v>7</v>
      </c>
      <c r="H696" t="s">
        <v>37</v>
      </c>
      <c r="I696" t="s">
        <v>56</v>
      </c>
      <c r="J696">
        <v>2</v>
      </c>
      <c r="K696">
        <v>3</v>
      </c>
      <c r="L696" t="s">
        <v>27</v>
      </c>
      <c r="M696">
        <v>2</v>
      </c>
      <c r="N696">
        <v>3</v>
      </c>
      <c r="O696">
        <v>1</v>
      </c>
      <c r="P696">
        <v>4</v>
      </c>
      <c r="Q696" t="s">
        <v>27</v>
      </c>
    </row>
    <row r="697" spans="1:17" x14ac:dyDescent="0.3">
      <c r="A697" t="s">
        <v>742</v>
      </c>
      <c r="B697">
        <v>38</v>
      </c>
      <c r="C697" t="s">
        <v>35</v>
      </c>
      <c r="D697" t="s">
        <v>29</v>
      </c>
      <c r="E697" t="s">
        <v>30</v>
      </c>
      <c r="F697">
        <v>9426</v>
      </c>
      <c r="G697">
        <v>7</v>
      </c>
      <c r="H697" t="s">
        <v>21</v>
      </c>
      <c r="I697" t="s">
        <v>22</v>
      </c>
      <c r="J697">
        <v>3</v>
      </c>
      <c r="K697">
        <v>1</v>
      </c>
      <c r="L697" t="s">
        <v>27</v>
      </c>
      <c r="M697">
        <v>3</v>
      </c>
      <c r="N697">
        <v>2</v>
      </c>
      <c r="O697">
        <v>4</v>
      </c>
      <c r="P697">
        <v>2</v>
      </c>
      <c r="Q697" t="s">
        <v>27</v>
      </c>
    </row>
    <row r="698" spans="1:17" x14ac:dyDescent="0.3">
      <c r="A698" t="s">
        <v>743</v>
      </c>
      <c r="B698">
        <v>26</v>
      </c>
      <c r="C698" t="s">
        <v>35</v>
      </c>
      <c r="D698" t="s">
        <v>19</v>
      </c>
      <c r="E698" t="s">
        <v>40</v>
      </c>
      <c r="F698">
        <v>7867</v>
      </c>
      <c r="G698">
        <v>0</v>
      </c>
      <c r="H698" t="s">
        <v>21</v>
      </c>
      <c r="I698" t="s">
        <v>31</v>
      </c>
      <c r="J698">
        <v>4</v>
      </c>
      <c r="K698">
        <v>4</v>
      </c>
      <c r="L698" t="s">
        <v>23</v>
      </c>
      <c r="M698">
        <v>2</v>
      </c>
      <c r="N698">
        <v>14</v>
      </c>
      <c r="O698">
        <v>6</v>
      </c>
      <c r="P698">
        <v>2</v>
      </c>
      <c r="Q698" t="s">
        <v>27</v>
      </c>
    </row>
    <row r="699" spans="1:17" x14ac:dyDescent="0.3">
      <c r="A699" t="s">
        <v>744</v>
      </c>
      <c r="B699">
        <v>36</v>
      </c>
      <c r="C699" t="s">
        <v>35</v>
      </c>
      <c r="D699" t="s">
        <v>25</v>
      </c>
      <c r="E699" t="s">
        <v>26</v>
      </c>
      <c r="F699">
        <v>7320</v>
      </c>
      <c r="G699">
        <v>1</v>
      </c>
      <c r="H699" t="s">
        <v>33</v>
      </c>
      <c r="I699" t="s">
        <v>22</v>
      </c>
      <c r="J699">
        <v>4</v>
      </c>
      <c r="K699">
        <v>3</v>
      </c>
      <c r="L699" t="s">
        <v>27</v>
      </c>
      <c r="M699">
        <v>2</v>
      </c>
      <c r="N699">
        <v>10</v>
      </c>
      <c r="O699">
        <v>0</v>
      </c>
      <c r="P699">
        <v>3</v>
      </c>
      <c r="Q699" t="s">
        <v>27</v>
      </c>
    </row>
    <row r="700" spans="1:17" x14ac:dyDescent="0.3">
      <c r="A700" t="s">
        <v>745</v>
      </c>
      <c r="B700">
        <v>19</v>
      </c>
      <c r="C700" t="s">
        <v>18</v>
      </c>
      <c r="D700" t="s">
        <v>70</v>
      </c>
      <c r="E700" t="s">
        <v>71</v>
      </c>
      <c r="F700">
        <v>2968</v>
      </c>
      <c r="G700">
        <v>1</v>
      </c>
      <c r="H700" t="s">
        <v>37</v>
      </c>
      <c r="I700" t="s">
        <v>22</v>
      </c>
      <c r="J700">
        <v>2</v>
      </c>
      <c r="K700">
        <v>3</v>
      </c>
      <c r="L700" t="s">
        <v>27</v>
      </c>
      <c r="M700">
        <v>3</v>
      </c>
      <c r="N700">
        <v>13</v>
      </c>
      <c r="O700">
        <v>6</v>
      </c>
      <c r="P700">
        <v>4</v>
      </c>
      <c r="Q700" t="s">
        <v>27</v>
      </c>
    </row>
    <row r="701" spans="1:17" x14ac:dyDescent="0.3">
      <c r="A701" t="s">
        <v>746</v>
      </c>
      <c r="B701">
        <v>24</v>
      </c>
      <c r="C701" t="s">
        <v>35</v>
      </c>
      <c r="D701" t="s">
        <v>19</v>
      </c>
      <c r="E701" t="s">
        <v>36</v>
      </c>
      <c r="F701">
        <v>9474</v>
      </c>
      <c r="G701">
        <v>0</v>
      </c>
      <c r="H701" t="s">
        <v>46</v>
      </c>
      <c r="I701" t="s">
        <v>22</v>
      </c>
      <c r="J701">
        <v>2</v>
      </c>
      <c r="K701">
        <v>1</v>
      </c>
      <c r="L701" t="s">
        <v>27</v>
      </c>
      <c r="M701">
        <v>3</v>
      </c>
      <c r="N701">
        <v>28</v>
      </c>
      <c r="O701">
        <v>1</v>
      </c>
      <c r="P701">
        <v>1</v>
      </c>
      <c r="Q701" t="s">
        <v>27</v>
      </c>
    </row>
    <row r="702" spans="1:17" x14ac:dyDescent="0.3">
      <c r="A702" t="s">
        <v>747</v>
      </c>
      <c r="B702">
        <v>52</v>
      </c>
      <c r="C702" t="s">
        <v>18</v>
      </c>
      <c r="D702" t="s">
        <v>25</v>
      </c>
      <c r="E702" t="s">
        <v>26</v>
      </c>
      <c r="F702">
        <v>7046</v>
      </c>
      <c r="G702">
        <v>1</v>
      </c>
      <c r="H702" t="s">
        <v>46</v>
      </c>
      <c r="I702" t="s">
        <v>31</v>
      </c>
      <c r="J702">
        <v>3</v>
      </c>
      <c r="K702">
        <v>1</v>
      </c>
      <c r="L702" t="s">
        <v>23</v>
      </c>
      <c r="M702">
        <v>3</v>
      </c>
      <c r="N702">
        <v>30</v>
      </c>
      <c r="O702">
        <v>4</v>
      </c>
      <c r="P702">
        <v>1</v>
      </c>
      <c r="Q702" t="s">
        <v>27</v>
      </c>
    </row>
    <row r="703" spans="1:17" x14ac:dyDescent="0.3">
      <c r="A703" t="s">
        <v>748</v>
      </c>
      <c r="B703">
        <v>39</v>
      </c>
      <c r="C703" t="s">
        <v>35</v>
      </c>
      <c r="D703" t="s">
        <v>70</v>
      </c>
      <c r="E703" t="s">
        <v>71</v>
      </c>
      <c r="F703">
        <v>6614</v>
      </c>
      <c r="G703">
        <v>0</v>
      </c>
      <c r="H703" t="s">
        <v>37</v>
      </c>
      <c r="I703" t="s">
        <v>31</v>
      </c>
      <c r="J703">
        <v>2</v>
      </c>
      <c r="K703">
        <v>2</v>
      </c>
      <c r="L703" t="s">
        <v>23</v>
      </c>
      <c r="M703">
        <v>3</v>
      </c>
      <c r="N703">
        <v>12</v>
      </c>
      <c r="O703">
        <v>6</v>
      </c>
      <c r="P703">
        <v>3</v>
      </c>
      <c r="Q703" t="s">
        <v>27</v>
      </c>
    </row>
    <row r="704" spans="1:17" x14ac:dyDescent="0.3">
      <c r="A704" t="s">
        <v>749</v>
      </c>
      <c r="B704">
        <v>23</v>
      </c>
      <c r="C704" t="s">
        <v>35</v>
      </c>
      <c r="D704" t="s">
        <v>25</v>
      </c>
      <c r="E704" t="s">
        <v>26</v>
      </c>
      <c r="F704">
        <v>8487</v>
      </c>
      <c r="G704">
        <v>1</v>
      </c>
      <c r="H704" t="s">
        <v>21</v>
      </c>
      <c r="I704" t="s">
        <v>22</v>
      </c>
      <c r="J704">
        <v>4</v>
      </c>
      <c r="K704">
        <v>2</v>
      </c>
      <c r="L704" t="s">
        <v>27</v>
      </c>
      <c r="M704">
        <v>4</v>
      </c>
      <c r="N704">
        <v>27</v>
      </c>
      <c r="O704">
        <v>5</v>
      </c>
      <c r="P704">
        <v>1</v>
      </c>
      <c r="Q704" t="s">
        <v>27</v>
      </c>
    </row>
    <row r="705" spans="1:17" x14ac:dyDescent="0.3">
      <c r="A705" t="s">
        <v>750</v>
      </c>
      <c r="B705">
        <v>42</v>
      </c>
      <c r="C705" t="s">
        <v>18</v>
      </c>
      <c r="D705" t="s">
        <v>44</v>
      </c>
      <c r="E705" t="s">
        <v>20</v>
      </c>
      <c r="F705">
        <v>11173</v>
      </c>
      <c r="G705">
        <v>2</v>
      </c>
      <c r="H705" t="s">
        <v>37</v>
      </c>
      <c r="I705" t="s">
        <v>31</v>
      </c>
      <c r="J705">
        <v>3</v>
      </c>
      <c r="K705">
        <v>3</v>
      </c>
      <c r="L705" t="s">
        <v>27</v>
      </c>
      <c r="M705">
        <v>3</v>
      </c>
      <c r="N705">
        <v>7</v>
      </c>
      <c r="O705">
        <v>2</v>
      </c>
      <c r="P705">
        <v>1</v>
      </c>
      <c r="Q705" t="s">
        <v>27</v>
      </c>
    </row>
    <row r="706" spans="1:17" x14ac:dyDescent="0.3">
      <c r="A706" t="s">
        <v>751</v>
      </c>
      <c r="B706">
        <v>22</v>
      </c>
      <c r="C706" t="s">
        <v>18</v>
      </c>
      <c r="D706" t="s">
        <v>25</v>
      </c>
      <c r="E706" t="s">
        <v>26</v>
      </c>
      <c r="F706">
        <v>4165</v>
      </c>
      <c r="G706">
        <v>2</v>
      </c>
      <c r="H706" t="s">
        <v>37</v>
      </c>
      <c r="I706" t="s">
        <v>31</v>
      </c>
      <c r="J706">
        <v>4</v>
      </c>
      <c r="K706">
        <v>4</v>
      </c>
      <c r="L706" t="s">
        <v>23</v>
      </c>
      <c r="M706">
        <v>3</v>
      </c>
      <c r="N706">
        <v>27</v>
      </c>
      <c r="O706">
        <v>1</v>
      </c>
      <c r="P706">
        <v>2</v>
      </c>
      <c r="Q706" t="s">
        <v>27</v>
      </c>
    </row>
    <row r="707" spans="1:17" x14ac:dyDescent="0.3">
      <c r="A707" t="s">
        <v>752</v>
      </c>
      <c r="B707">
        <v>36</v>
      </c>
      <c r="C707" t="s">
        <v>18</v>
      </c>
      <c r="D707" t="s">
        <v>19</v>
      </c>
      <c r="E707" t="s">
        <v>40</v>
      </c>
      <c r="F707">
        <v>11017</v>
      </c>
      <c r="G707">
        <v>9</v>
      </c>
      <c r="H707" t="s">
        <v>21</v>
      </c>
      <c r="I707" t="s">
        <v>31</v>
      </c>
      <c r="J707">
        <v>1</v>
      </c>
      <c r="K707">
        <v>3</v>
      </c>
      <c r="L707" t="s">
        <v>23</v>
      </c>
      <c r="M707">
        <v>3</v>
      </c>
      <c r="N707">
        <v>27</v>
      </c>
      <c r="O707">
        <v>3</v>
      </c>
      <c r="P707">
        <v>2</v>
      </c>
      <c r="Q707" t="s">
        <v>27</v>
      </c>
    </row>
    <row r="708" spans="1:17" x14ac:dyDescent="0.3">
      <c r="A708" t="s">
        <v>753</v>
      </c>
      <c r="B708">
        <v>30</v>
      </c>
      <c r="C708" t="s">
        <v>35</v>
      </c>
      <c r="D708" t="s">
        <v>19</v>
      </c>
      <c r="E708" t="s">
        <v>20</v>
      </c>
      <c r="F708">
        <v>12382</v>
      </c>
      <c r="G708">
        <v>5</v>
      </c>
      <c r="H708" t="s">
        <v>37</v>
      </c>
      <c r="I708" t="s">
        <v>22</v>
      </c>
      <c r="J708">
        <v>2</v>
      </c>
      <c r="K708">
        <v>2</v>
      </c>
      <c r="L708" t="s">
        <v>27</v>
      </c>
      <c r="M708">
        <v>2</v>
      </c>
      <c r="N708">
        <v>30</v>
      </c>
      <c r="O708">
        <v>1</v>
      </c>
      <c r="P708">
        <v>3</v>
      </c>
      <c r="Q708" t="s">
        <v>27</v>
      </c>
    </row>
    <row r="709" spans="1:17" x14ac:dyDescent="0.3">
      <c r="A709" t="s">
        <v>754</v>
      </c>
      <c r="B709">
        <v>28</v>
      </c>
      <c r="C709" t="s">
        <v>18</v>
      </c>
      <c r="D709" t="s">
        <v>25</v>
      </c>
      <c r="E709" t="s">
        <v>26</v>
      </c>
      <c r="F709">
        <v>7615</v>
      </c>
      <c r="G709">
        <v>3</v>
      </c>
      <c r="H709" t="s">
        <v>37</v>
      </c>
      <c r="I709" t="s">
        <v>22</v>
      </c>
      <c r="J709">
        <v>4</v>
      </c>
      <c r="K709">
        <v>2</v>
      </c>
      <c r="L709" t="s">
        <v>27</v>
      </c>
      <c r="M709">
        <v>3</v>
      </c>
      <c r="N709">
        <v>2</v>
      </c>
      <c r="O709">
        <v>5</v>
      </c>
      <c r="P709">
        <v>4</v>
      </c>
      <c r="Q709" t="s">
        <v>27</v>
      </c>
    </row>
    <row r="710" spans="1:17" x14ac:dyDescent="0.3">
      <c r="A710" t="s">
        <v>755</v>
      </c>
      <c r="B710">
        <v>29</v>
      </c>
      <c r="C710" t="s">
        <v>18</v>
      </c>
      <c r="D710" t="s">
        <v>29</v>
      </c>
      <c r="E710" t="s">
        <v>49</v>
      </c>
      <c r="F710">
        <v>3927</v>
      </c>
      <c r="G710">
        <v>0</v>
      </c>
      <c r="H710" t="s">
        <v>37</v>
      </c>
      <c r="I710" t="s">
        <v>22</v>
      </c>
      <c r="J710">
        <v>3</v>
      </c>
      <c r="K710">
        <v>4</v>
      </c>
      <c r="L710" t="s">
        <v>23</v>
      </c>
      <c r="M710">
        <v>1</v>
      </c>
      <c r="N710">
        <v>29</v>
      </c>
      <c r="O710">
        <v>0</v>
      </c>
      <c r="P710">
        <v>1</v>
      </c>
      <c r="Q710" t="s">
        <v>27</v>
      </c>
    </row>
    <row r="711" spans="1:17" x14ac:dyDescent="0.3">
      <c r="A711" t="s">
        <v>756</v>
      </c>
      <c r="B711">
        <v>36</v>
      </c>
      <c r="C711" t="s">
        <v>18</v>
      </c>
      <c r="D711" t="s">
        <v>74</v>
      </c>
      <c r="E711" t="s">
        <v>99</v>
      </c>
      <c r="F711">
        <v>6080</v>
      </c>
      <c r="G711">
        <v>0</v>
      </c>
      <c r="H711" t="s">
        <v>37</v>
      </c>
      <c r="I711" t="s">
        <v>22</v>
      </c>
      <c r="J711">
        <v>1</v>
      </c>
      <c r="K711">
        <v>2</v>
      </c>
      <c r="L711" t="s">
        <v>27</v>
      </c>
      <c r="M711">
        <v>3</v>
      </c>
      <c r="N711">
        <v>6</v>
      </c>
      <c r="O711">
        <v>1</v>
      </c>
      <c r="P711">
        <v>1</v>
      </c>
      <c r="Q711" t="s">
        <v>27</v>
      </c>
    </row>
    <row r="712" spans="1:17" x14ac:dyDescent="0.3">
      <c r="A712" t="s">
        <v>757</v>
      </c>
      <c r="B712">
        <v>21</v>
      </c>
      <c r="C712" t="s">
        <v>35</v>
      </c>
      <c r="D712" t="s">
        <v>19</v>
      </c>
      <c r="E712" t="s">
        <v>36</v>
      </c>
      <c r="F712">
        <v>5955</v>
      </c>
      <c r="G712">
        <v>3</v>
      </c>
      <c r="H712" t="s">
        <v>21</v>
      </c>
      <c r="I712" t="s">
        <v>22</v>
      </c>
      <c r="J712">
        <v>2</v>
      </c>
      <c r="K712">
        <v>1</v>
      </c>
      <c r="L712" t="s">
        <v>23</v>
      </c>
      <c r="M712">
        <v>3</v>
      </c>
      <c r="N712">
        <v>19</v>
      </c>
      <c r="O712">
        <v>4</v>
      </c>
      <c r="P712">
        <v>2</v>
      </c>
      <c r="Q712" t="s">
        <v>23</v>
      </c>
    </row>
    <row r="713" spans="1:17" x14ac:dyDescent="0.3">
      <c r="A713" t="s">
        <v>758</v>
      </c>
      <c r="B713">
        <v>44</v>
      </c>
      <c r="C713" t="s">
        <v>18</v>
      </c>
      <c r="D713" t="s">
        <v>74</v>
      </c>
      <c r="E713" t="s">
        <v>20</v>
      </c>
      <c r="F713">
        <v>14923</v>
      </c>
      <c r="G713">
        <v>7</v>
      </c>
      <c r="H713" t="s">
        <v>21</v>
      </c>
      <c r="I713" t="s">
        <v>56</v>
      </c>
      <c r="J713">
        <v>4</v>
      </c>
      <c r="K713">
        <v>1</v>
      </c>
      <c r="L713" t="s">
        <v>27</v>
      </c>
      <c r="M713">
        <v>2</v>
      </c>
      <c r="N713">
        <v>23</v>
      </c>
      <c r="O713">
        <v>5</v>
      </c>
      <c r="P713">
        <v>2</v>
      </c>
      <c r="Q713" t="s">
        <v>27</v>
      </c>
    </row>
    <row r="714" spans="1:17" x14ac:dyDescent="0.3">
      <c r="A714" t="s">
        <v>759</v>
      </c>
      <c r="B714">
        <v>38</v>
      </c>
      <c r="C714" t="s">
        <v>18</v>
      </c>
      <c r="D714" t="s">
        <v>19</v>
      </c>
      <c r="E714" t="s">
        <v>40</v>
      </c>
      <c r="F714">
        <v>7877</v>
      </c>
      <c r="G714">
        <v>3</v>
      </c>
      <c r="H714" t="s">
        <v>37</v>
      </c>
      <c r="I714" t="s">
        <v>31</v>
      </c>
      <c r="J714">
        <v>3</v>
      </c>
      <c r="K714">
        <v>1</v>
      </c>
      <c r="L714" t="s">
        <v>27</v>
      </c>
      <c r="M714">
        <v>3</v>
      </c>
      <c r="N714">
        <v>21</v>
      </c>
      <c r="O714">
        <v>3</v>
      </c>
      <c r="P714">
        <v>3</v>
      </c>
      <c r="Q714" t="s">
        <v>27</v>
      </c>
    </row>
    <row r="715" spans="1:17" x14ac:dyDescent="0.3">
      <c r="A715" t="s">
        <v>760</v>
      </c>
      <c r="B715">
        <v>26</v>
      </c>
      <c r="C715" t="s">
        <v>35</v>
      </c>
      <c r="D715" t="s">
        <v>44</v>
      </c>
      <c r="E715" t="s">
        <v>45</v>
      </c>
      <c r="F715">
        <v>6944</v>
      </c>
      <c r="G715">
        <v>0</v>
      </c>
      <c r="H715" t="s">
        <v>21</v>
      </c>
      <c r="I715" t="s">
        <v>31</v>
      </c>
      <c r="J715">
        <v>4</v>
      </c>
      <c r="K715">
        <v>3</v>
      </c>
      <c r="L715" t="s">
        <v>27</v>
      </c>
      <c r="M715">
        <v>3</v>
      </c>
      <c r="N715">
        <v>19</v>
      </c>
      <c r="O715">
        <v>2</v>
      </c>
      <c r="P715">
        <v>2</v>
      </c>
      <c r="Q715" t="s">
        <v>27</v>
      </c>
    </row>
    <row r="716" spans="1:17" x14ac:dyDescent="0.3">
      <c r="A716" t="s">
        <v>761</v>
      </c>
      <c r="B716">
        <v>54</v>
      </c>
      <c r="C716" t="s">
        <v>18</v>
      </c>
      <c r="D716" t="s">
        <v>19</v>
      </c>
      <c r="E716" t="s">
        <v>40</v>
      </c>
      <c r="F716">
        <v>8561</v>
      </c>
      <c r="G716">
        <v>3</v>
      </c>
      <c r="H716" t="s">
        <v>37</v>
      </c>
      <c r="I716" t="s">
        <v>31</v>
      </c>
      <c r="J716">
        <v>3</v>
      </c>
      <c r="K716">
        <v>3</v>
      </c>
      <c r="L716" t="s">
        <v>27</v>
      </c>
      <c r="M716">
        <v>2</v>
      </c>
      <c r="N716">
        <v>14</v>
      </c>
      <c r="O716">
        <v>3</v>
      </c>
      <c r="P716">
        <v>4</v>
      </c>
      <c r="Q716" t="s">
        <v>27</v>
      </c>
    </row>
    <row r="717" spans="1:17" x14ac:dyDescent="0.3">
      <c r="A717" t="s">
        <v>762</v>
      </c>
      <c r="B717">
        <v>29</v>
      </c>
      <c r="C717" t="s">
        <v>35</v>
      </c>
      <c r="D717" t="s">
        <v>19</v>
      </c>
      <c r="E717" t="s">
        <v>40</v>
      </c>
      <c r="F717">
        <v>8171</v>
      </c>
      <c r="G717">
        <v>5</v>
      </c>
      <c r="H717" t="s">
        <v>21</v>
      </c>
      <c r="I717" t="s">
        <v>31</v>
      </c>
      <c r="J717">
        <v>3</v>
      </c>
      <c r="K717">
        <v>2</v>
      </c>
      <c r="L717" t="s">
        <v>27</v>
      </c>
      <c r="M717">
        <v>2</v>
      </c>
      <c r="N717">
        <v>19</v>
      </c>
      <c r="O717">
        <v>3</v>
      </c>
      <c r="P717">
        <v>4</v>
      </c>
      <c r="Q717" t="s">
        <v>27</v>
      </c>
    </row>
    <row r="718" spans="1:17" x14ac:dyDescent="0.3">
      <c r="A718" t="s">
        <v>763</v>
      </c>
      <c r="B718">
        <v>29</v>
      </c>
      <c r="C718" t="s">
        <v>35</v>
      </c>
      <c r="D718" t="s">
        <v>25</v>
      </c>
      <c r="E718" t="s">
        <v>61</v>
      </c>
      <c r="F718">
        <v>8510</v>
      </c>
      <c r="G718">
        <v>0</v>
      </c>
      <c r="H718" t="s">
        <v>37</v>
      </c>
      <c r="I718" t="s">
        <v>22</v>
      </c>
      <c r="J718">
        <v>2</v>
      </c>
      <c r="K718">
        <v>4</v>
      </c>
      <c r="L718" t="s">
        <v>27</v>
      </c>
      <c r="M718">
        <v>3</v>
      </c>
      <c r="N718">
        <v>29</v>
      </c>
      <c r="O718">
        <v>5</v>
      </c>
      <c r="P718">
        <v>2</v>
      </c>
      <c r="Q718" t="s">
        <v>27</v>
      </c>
    </row>
    <row r="719" spans="1:17" x14ac:dyDescent="0.3">
      <c r="A719" t="s">
        <v>764</v>
      </c>
      <c r="B719">
        <v>28</v>
      </c>
      <c r="C719" t="s">
        <v>18</v>
      </c>
      <c r="D719" t="s">
        <v>29</v>
      </c>
      <c r="E719" t="s">
        <v>49</v>
      </c>
      <c r="F719">
        <v>4923</v>
      </c>
      <c r="G719">
        <v>0</v>
      </c>
      <c r="H719" t="s">
        <v>37</v>
      </c>
      <c r="I719" t="s">
        <v>31</v>
      </c>
      <c r="J719">
        <v>3</v>
      </c>
      <c r="K719">
        <v>4</v>
      </c>
      <c r="L719" t="s">
        <v>27</v>
      </c>
      <c r="M719">
        <v>3</v>
      </c>
      <c r="N719">
        <v>18</v>
      </c>
      <c r="O719">
        <v>4</v>
      </c>
      <c r="P719">
        <v>4</v>
      </c>
      <c r="Q719" t="s">
        <v>27</v>
      </c>
    </row>
    <row r="720" spans="1:17" x14ac:dyDescent="0.3">
      <c r="A720" t="s">
        <v>765</v>
      </c>
      <c r="B720">
        <v>20</v>
      </c>
      <c r="C720" t="s">
        <v>35</v>
      </c>
      <c r="D720" t="s">
        <v>70</v>
      </c>
      <c r="E720" t="s">
        <v>71</v>
      </c>
      <c r="F720">
        <v>6837</v>
      </c>
      <c r="G720">
        <v>2</v>
      </c>
      <c r="H720" t="s">
        <v>37</v>
      </c>
      <c r="I720" t="s">
        <v>31</v>
      </c>
      <c r="J720">
        <v>4</v>
      </c>
      <c r="K720">
        <v>2</v>
      </c>
      <c r="L720" t="s">
        <v>27</v>
      </c>
      <c r="M720">
        <v>3</v>
      </c>
      <c r="N720">
        <v>16</v>
      </c>
      <c r="O720">
        <v>6</v>
      </c>
      <c r="P720">
        <v>3</v>
      </c>
      <c r="Q720" t="s">
        <v>23</v>
      </c>
    </row>
    <row r="721" spans="1:17" x14ac:dyDescent="0.3">
      <c r="A721" t="s">
        <v>766</v>
      </c>
      <c r="B721">
        <v>44</v>
      </c>
      <c r="C721" t="s">
        <v>18</v>
      </c>
      <c r="D721" t="s">
        <v>19</v>
      </c>
      <c r="E721" t="s">
        <v>40</v>
      </c>
      <c r="F721">
        <v>8872</v>
      </c>
      <c r="G721">
        <v>5</v>
      </c>
      <c r="H721" t="s">
        <v>37</v>
      </c>
      <c r="I721" t="s">
        <v>31</v>
      </c>
      <c r="J721">
        <v>4</v>
      </c>
      <c r="K721">
        <v>2</v>
      </c>
      <c r="L721" t="s">
        <v>27</v>
      </c>
      <c r="M721">
        <v>3</v>
      </c>
      <c r="N721">
        <v>9</v>
      </c>
      <c r="O721">
        <v>6</v>
      </c>
      <c r="P721">
        <v>4</v>
      </c>
      <c r="Q721" t="s">
        <v>27</v>
      </c>
    </row>
    <row r="722" spans="1:17" x14ac:dyDescent="0.3">
      <c r="A722" t="s">
        <v>767</v>
      </c>
      <c r="B722">
        <v>32</v>
      </c>
      <c r="C722" t="s">
        <v>18</v>
      </c>
      <c r="D722" t="s">
        <v>70</v>
      </c>
      <c r="E722" t="s">
        <v>20</v>
      </c>
      <c r="F722">
        <v>10741</v>
      </c>
      <c r="G722">
        <v>0</v>
      </c>
      <c r="H722" t="s">
        <v>37</v>
      </c>
      <c r="I722" t="s">
        <v>31</v>
      </c>
      <c r="J722">
        <v>1</v>
      </c>
      <c r="K722">
        <v>1</v>
      </c>
      <c r="L722" t="s">
        <v>27</v>
      </c>
      <c r="M722">
        <v>1</v>
      </c>
      <c r="N722">
        <v>9</v>
      </c>
      <c r="O722">
        <v>3</v>
      </c>
      <c r="P722">
        <v>3</v>
      </c>
      <c r="Q722" t="s">
        <v>27</v>
      </c>
    </row>
    <row r="723" spans="1:17" x14ac:dyDescent="0.3">
      <c r="A723" t="s">
        <v>768</v>
      </c>
      <c r="B723">
        <v>32</v>
      </c>
      <c r="C723" t="s">
        <v>35</v>
      </c>
      <c r="D723" t="s">
        <v>25</v>
      </c>
      <c r="E723" t="s">
        <v>61</v>
      </c>
      <c r="F723">
        <v>6979</v>
      </c>
      <c r="G723">
        <v>8</v>
      </c>
      <c r="H723" t="s">
        <v>46</v>
      </c>
      <c r="I723" t="s">
        <v>31</v>
      </c>
      <c r="J723">
        <v>2</v>
      </c>
      <c r="K723">
        <v>1</v>
      </c>
      <c r="L723" t="s">
        <v>23</v>
      </c>
      <c r="M723">
        <v>3</v>
      </c>
      <c r="N723">
        <v>7</v>
      </c>
      <c r="O723">
        <v>6</v>
      </c>
      <c r="P723">
        <v>2</v>
      </c>
      <c r="Q723" t="s">
        <v>27</v>
      </c>
    </row>
    <row r="724" spans="1:17" x14ac:dyDescent="0.3">
      <c r="A724" t="s">
        <v>769</v>
      </c>
      <c r="B724">
        <v>33</v>
      </c>
      <c r="C724" t="s">
        <v>18</v>
      </c>
      <c r="D724" t="s">
        <v>25</v>
      </c>
      <c r="E724" t="s">
        <v>20</v>
      </c>
      <c r="F724">
        <v>10024</v>
      </c>
      <c r="G724">
        <v>0</v>
      </c>
      <c r="H724" t="s">
        <v>37</v>
      </c>
      <c r="I724" t="s">
        <v>22</v>
      </c>
      <c r="J724">
        <v>2</v>
      </c>
      <c r="K724">
        <v>4</v>
      </c>
      <c r="L724" t="s">
        <v>27</v>
      </c>
      <c r="M724">
        <v>3</v>
      </c>
      <c r="N724">
        <v>8</v>
      </c>
      <c r="O724">
        <v>0</v>
      </c>
      <c r="P724">
        <v>1</v>
      </c>
      <c r="Q724" t="s">
        <v>23</v>
      </c>
    </row>
    <row r="725" spans="1:17" x14ac:dyDescent="0.3">
      <c r="A725" t="s">
        <v>770</v>
      </c>
      <c r="B725">
        <v>40</v>
      </c>
      <c r="C725" t="s">
        <v>18</v>
      </c>
      <c r="D725" t="s">
        <v>19</v>
      </c>
      <c r="E725" t="s">
        <v>40</v>
      </c>
      <c r="F725">
        <v>8983</v>
      </c>
      <c r="G725">
        <v>5</v>
      </c>
      <c r="H725" t="s">
        <v>37</v>
      </c>
      <c r="I725" t="s">
        <v>22</v>
      </c>
      <c r="J725">
        <v>3</v>
      </c>
      <c r="K725">
        <v>3</v>
      </c>
      <c r="L725" t="s">
        <v>27</v>
      </c>
      <c r="M725">
        <v>3</v>
      </c>
      <c r="N725">
        <v>30</v>
      </c>
      <c r="O725">
        <v>3</v>
      </c>
      <c r="P725">
        <v>2</v>
      </c>
      <c r="Q725" t="s">
        <v>27</v>
      </c>
    </row>
    <row r="726" spans="1:17" x14ac:dyDescent="0.3">
      <c r="A726" t="s">
        <v>771</v>
      </c>
      <c r="B726">
        <v>32</v>
      </c>
      <c r="C726" t="s">
        <v>18</v>
      </c>
      <c r="D726" t="s">
        <v>19</v>
      </c>
      <c r="E726" t="s">
        <v>36</v>
      </c>
      <c r="F726">
        <v>6617</v>
      </c>
      <c r="G726">
        <v>0</v>
      </c>
      <c r="H726" t="s">
        <v>21</v>
      </c>
      <c r="I726" t="s">
        <v>31</v>
      </c>
      <c r="J726">
        <v>4</v>
      </c>
      <c r="K726">
        <v>2</v>
      </c>
      <c r="L726" t="s">
        <v>27</v>
      </c>
      <c r="M726">
        <v>3</v>
      </c>
      <c r="N726">
        <v>25</v>
      </c>
      <c r="O726">
        <v>2</v>
      </c>
      <c r="P726">
        <v>2</v>
      </c>
      <c r="Q726" t="s">
        <v>27</v>
      </c>
    </row>
    <row r="727" spans="1:17" x14ac:dyDescent="0.3">
      <c r="A727" t="s">
        <v>772</v>
      </c>
      <c r="B727">
        <v>35</v>
      </c>
      <c r="C727" t="s">
        <v>35</v>
      </c>
      <c r="D727" t="s">
        <v>74</v>
      </c>
      <c r="E727" t="s">
        <v>75</v>
      </c>
      <c r="F727">
        <v>9166</v>
      </c>
      <c r="G727">
        <v>2</v>
      </c>
      <c r="H727" t="s">
        <v>46</v>
      </c>
      <c r="I727" t="s">
        <v>22</v>
      </c>
      <c r="J727">
        <v>1</v>
      </c>
      <c r="K727">
        <v>4</v>
      </c>
      <c r="L727" t="s">
        <v>23</v>
      </c>
      <c r="M727">
        <v>3</v>
      </c>
      <c r="N727">
        <v>28</v>
      </c>
      <c r="O727">
        <v>0</v>
      </c>
      <c r="P727">
        <v>1</v>
      </c>
      <c r="Q727" t="s">
        <v>27</v>
      </c>
    </row>
    <row r="728" spans="1:17" x14ac:dyDescent="0.3">
      <c r="A728" t="s">
        <v>773</v>
      </c>
      <c r="B728">
        <v>30</v>
      </c>
      <c r="C728" t="s">
        <v>18</v>
      </c>
      <c r="D728" t="s">
        <v>74</v>
      </c>
      <c r="E728" t="s">
        <v>75</v>
      </c>
      <c r="F728">
        <v>12541</v>
      </c>
      <c r="G728">
        <v>8</v>
      </c>
      <c r="H728" t="s">
        <v>21</v>
      </c>
      <c r="I728" t="s">
        <v>56</v>
      </c>
      <c r="J728">
        <v>3</v>
      </c>
      <c r="K728">
        <v>4</v>
      </c>
      <c r="L728" t="s">
        <v>27</v>
      </c>
      <c r="M728">
        <v>3</v>
      </c>
      <c r="N728">
        <v>9</v>
      </c>
      <c r="O728">
        <v>6</v>
      </c>
      <c r="P728">
        <v>3</v>
      </c>
      <c r="Q728" t="s">
        <v>23</v>
      </c>
    </row>
    <row r="729" spans="1:17" x14ac:dyDescent="0.3">
      <c r="A729" t="s">
        <v>774</v>
      </c>
      <c r="B729">
        <v>33</v>
      </c>
      <c r="C729" t="s">
        <v>18</v>
      </c>
      <c r="D729" t="s">
        <v>25</v>
      </c>
      <c r="E729" t="s">
        <v>61</v>
      </c>
      <c r="F729">
        <v>8530</v>
      </c>
      <c r="G729">
        <v>0</v>
      </c>
      <c r="H729" t="s">
        <v>21</v>
      </c>
      <c r="I729" t="s">
        <v>31</v>
      </c>
      <c r="J729">
        <v>4</v>
      </c>
      <c r="K729">
        <v>3</v>
      </c>
      <c r="L729" t="s">
        <v>27</v>
      </c>
      <c r="M729">
        <v>2</v>
      </c>
      <c r="N729">
        <v>5</v>
      </c>
      <c r="O729">
        <v>0</v>
      </c>
      <c r="P729">
        <v>1</v>
      </c>
      <c r="Q729" t="s">
        <v>27</v>
      </c>
    </row>
    <row r="730" spans="1:17" x14ac:dyDescent="0.3">
      <c r="A730" t="s">
        <v>775</v>
      </c>
      <c r="B730">
        <v>29</v>
      </c>
      <c r="C730" t="s">
        <v>35</v>
      </c>
      <c r="D730" t="s">
        <v>25</v>
      </c>
      <c r="E730" t="s">
        <v>26</v>
      </c>
      <c r="F730">
        <v>6346</v>
      </c>
      <c r="G730">
        <v>3</v>
      </c>
      <c r="H730" t="s">
        <v>21</v>
      </c>
      <c r="I730" t="s">
        <v>31</v>
      </c>
      <c r="J730">
        <v>3</v>
      </c>
      <c r="K730">
        <v>2</v>
      </c>
      <c r="L730" t="s">
        <v>23</v>
      </c>
      <c r="M730">
        <v>3</v>
      </c>
      <c r="N730">
        <v>13</v>
      </c>
      <c r="O730">
        <v>6</v>
      </c>
      <c r="P730">
        <v>1</v>
      </c>
      <c r="Q730" t="s">
        <v>27</v>
      </c>
    </row>
    <row r="731" spans="1:17" x14ac:dyDescent="0.3">
      <c r="A731" t="s">
        <v>776</v>
      </c>
      <c r="B731">
        <v>38</v>
      </c>
      <c r="C731" t="s">
        <v>18</v>
      </c>
      <c r="D731" t="s">
        <v>19</v>
      </c>
      <c r="E731" t="s">
        <v>36</v>
      </c>
      <c r="F731">
        <v>6179</v>
      </c>
      <c r="G731">
        <v>0</v>
      </c>
      <c r="H731" t="s">
        <v>33</v>
      </c>
      <c r="I731" t="s">
        <v>31</v>
      </c>
      <c r="J731">
        <v>4</v>
      </c>
      <c r="K731">
        <v>1</v>
      </c>
      <c r="L731" t="s">
        <v>27</v>
      </c>
      <c r="M731">
        <v>3</v>
      </c>
      <c r="N731">
        <v>16</v>
      </c>
      <c r="O731">
        <v>6</v>
      </c>
      <c r="P731">
        <v>4</v>
      </c>
      <c r="Q731" t="s">
        <v>27</v>
      </c>
    </row>
    <row r="732" spans="1:17" x14ac:dyDescent="0.3">
      <c r="A732" t="s">
        <v>777</v>
      </c>
      <c r="B732">
        <v>34</v>
      </c>
      <c r="C732" t="s">
        <v>35</v>
      </c>
      <c r="D732" t="s">
        <v>74</v>
      </c>
      <c r="E732" t="s">
        <v>99</v>
      </c>
      <c r="F732">
        <v>7761</v>
      </c>
      <c r="G732">
        <v>1</v>
      </c>
      <c r="H732" t="s">
        <v>37</v>
      </c>
      <c r="I732" t="s">
        <v>56</v>
      </c>
      <c r="J732">
        <v>1</v>
      </c>
      <c r="K732">
        <v>1</v>
      </c>
      <c r="L732" t="s">
        <v>27</v>
      </c>
      <c r="M732">
        <v>3</v>
      </c>
      <c r="N732">
        <v>14</v>
      </c>
      <c r="O732">
        <v>2</v>
      </c>
      <c r="P732">
        <v>4</v>
      </c>
      <c r="Q732" t="s">
        <v>27</v>
      </c>
    </row>
    <row r="733" spans="1:17" x14ac:dyDescent="0.3">
      <c r="A733" t="s">
        <v>778</v>
      </c>
      <c r="B733">
        <v>19</v>
      </c>
      <c r="C733" t="s">
        <v>35</v>
      </c>
      <c r="D733" t="s">
        <v>44</v>
      </c>
      <c r="E733" t="s">
        <v>54</v>
      </c>
      <c r="F733">
        <v>8553</v>
      </c>
      <c r="G733">
        <v>0</v>
      </c>
      <c r="H733" t="s">
        <v>37</v>
      </c>
      <c r="I733" t="s">
        <v>56</v>
      </c>
      <c r="J733">
        <v>4</v>
      </c>
      <c r="K733">
        <v>2</v>
      </c>
      <c r="L733" t="s">
        <v>27</v>
      </c>
      <c r="M733">
        <v>3</v>
      </c>
      <c r="N733">
        <v>26</v>
      </c>
      <c r="O733">
        <v>1</v>
      </c>
      <c r="P733">
        <v>2</v>
      </c>
      <c r="Q733" t="s">
        <v>27</v>
      </c>
    </row>
    <row r="734" spans="1:17" x14ac:dyDescent="0.3">
      <c r="A734" t="s">
        <v>779</v>
      </c>
      <c r="B734">
        <v>34</v>
      </c>
      <c r="C734" t="s">
        <v>18</v>
      </c>
      <c r="D734" t="s">
        <v>19</v>
      </c>
      <c r="E734" t="s">
        <v>40</v>
      </c>
      <c r="F734">
        <v>8023</v>
      </c>
      <c r="G734">
        <v>5</v>
      </c>
      <c r="H734" t="s">
        <v>37</v>
      </c>
      <c r="I734" t="s">
        <v>56</v>
      </c>
      <c r="J734">
        <v>3</v>
      </c>
      <c r="K734">
        <v>3</v>
      </c>
      <c r="L734" t="s">
        <v>27</v>
      </c>
      <c r="M734">
        <v>3</v>
      </c>
      <c r="N734">
        <v>1</v>
      </c>
      <c r="O734">
        <v>0</v>
      </c>
      <c r="P734">
        <v>4</v>
      </c>
      <c r="Q734" t="s">
        <v>27</v>
      </c>
    </row>
    <row r="735" spans="1:17" x14ac:dyDescent="0.3">
      <c r="A735" t="s">
        <v>780</v>
      </c>
      <c r="B735">
        <v>44</v>
      </c>
      <c r="C735" t="s">
        <v>18</v>
      </c>
      <c r="D735" t="s">
        <v>44</v>
      </c>
      <c r="E735" t="s">
        <v>20</v>
      </c>
      <c r="F735">
        <v>11877</v>
      </c>
      <c r="G735">
        <v>4</v>
      </c>
      <c r="H735" t="s">
        <v>46</v>
      </c>
      <c r="I735" t="s">
        <v>22</v>
      </c>
      <c r="J735">
        <v>4</v>
      </c>
      <c r="K735">
        <v>3</v>
      </c>
      <c r="L735" t="s">
        <v>27</v>
      </c>
      <c r="M735">
        <v>3</v>
      </c>
      <c r="N735">
        <v>12</v>
      </c>
      <c r="O735">
        <v>4</v>
      </c>
      <c r="P735">
        <v>4</v>
      </c>
      <c r="Q735" t="s">
        <v>23</v>
      </c>
    </row>
    <row r="736" spans="1:17" x14ac:dyDescent="0.3">
      <c r="A736" t="s">
        <v>781</v>
      </c>
      <c r="B736">
        <v>33</v>
      </c>
      <c r="C736" t="s">
        <v>18</v>
      </c>
      <c r="D736" t="s">
        <v>19</v>
      </c>
      <c r="E736" t="s">
        <v>40</v>
      </c>
      <c r="F736">
        <v>9852</v>
      </c>
      <c r="G736">
        <v>4</v>
      </c>
      <c r="H736" t="s">
        <v>21</v>
      </c>
      <c r="I736" t="s">
        <v>31</v>
      </c>
      <c r="J736">
        <v>2</v>
      </c>
      <c r="K736">
        <v>2</v>
      </c>
      <c r="L736" t="s">
        <v>27</v>
      </c>
      <c r="M736">
        <v>3</v>
      </c>
      <c r="N736">
        <v>10</v>
      </c>
      <c r="O736">
        <v>3</v>
      </c>
      <c r="P736">
        <v>4</v>
      </c>
      <c r="Q736" t="s">
        <v>27</v>
      </c>
    </row>
    <row r="737" spans="1:17" x14ac:dyDescent="0.3">
      <c r="A737" t="s">
        <v>782</v>
      </c>
      <c r="B737">
        <v>39</v>
      </c>
      <c r="C737" t="s">
        <v>35</v>
      </c>
      <c r="D737" t="s">
        <v>74</v>
      </c>
      <c r="E737" t="s">
        <v>20</v>
      </c>
      <c r="F737">
        <v>16330</v>
      </c>
      <c r="G737">
        <v>9</v>
      </c>
      <c r="H737" t="s">
        <v>37</v>
      </c>
      <c r="I737" t="s">
        <v>31</v>
      </c>
      <c r="J737">
        <v>4</v>
      </c>
      <c r="K737">
        <v>2</v>
      </c>
      <c r="L737" t="s">
        <v>27</v>
      </c>
      <c r="M737">
        <v>3</v>
      </c>
      <c r="N737">
        <v>18</v>
      </c>
      <c r="O737">
        <v>6</v>
      </c>
      <c r="P737">
        <v>2</v>
      </c>
      <c r="Q737" t="s">
        <v>27</v>
      </c>
    </row>
    <row r="738" spans="1:17" x14ac:dyDescent="0.3">
      <c r="A738" t="s">
        <v>783</v>
      </c>
      <c r="B738">
        <v>39</v>
      </c>
      <c r="C738" t="s">
        <v>18</v>
      </c>
      <c r="D738" t="s">
        <v>74</v>
      </c>
      <c r="E738" t="s">
        <v>20</v>
      </c>
      <c r="F738">
        <v>13208</v>
      </c>
      <c r="G738">
        <v>3</v>
      </c>
      <c r="H738" t="s">
        <v>37</v>
      </c>
      <c r="I738" t="s">
        <v>56</v>
      </c>
      <c r="J738">
        <v>2</v>
      </c>
      <c r="K738">
        <v>1</v>
      </c>
      <c r="L738" t="s">
        <v>27</v>
      </c>
      <c r="M738">
        <v>3</v>
      </c>
      <c r="N738">
        <v>19</v>
      </c>
      <c r="O738">
        <v>3</v>
      </c>
      <c r="P738">
        <v>4</v>
      </c>
      <c r="Q738" t="s">
        <v>27</v>
      </c>
    </row>
    <row r="739" spans="1:17" x14ac:dyDescent="0.3">
      <c r="A739" t="s">
        <v>784</v>
      </c>
      <c r="B739">
        <v>50</v>
      </c>
      <c r="C739" t="s">
        <v>35</v>
      </c>
      <c r="D739" t="s">
        <v>70</v>
      </c>
      <c r="E739" t="s">
        <v>71</v>
      </c>
      <c r="F739">
        <v>6517</v>
      </c>
      <c r="G739">
        <v>1</v>
      </c>
      <c r="H739" t="s">
        <v>37</v>
      </c>
      <c r="I739" t="s">
        <v>31</v>
      </c>
      <c r="J739">
        <v>3</v>
      </c>
      <c r="K739">
        <v>1</v>
      </c>
      <c r="L739" t="s">
        <v>27</v>
      </c>
      <c r="M739">
        <v>4</v>
      </c>
      <c r="N739">
        <v>15</v>
      </c>
      <c r="O739">
        <v>4</v>
      </c>
      <c r="P739">
        <v>2</v>
      </c>
      <c r="Q739" t="s">
        <v>27</v>
      </c>
    </row>
    <row r="740" spans="1:17" x14ac:dyDescent="0.3">
      <c r="A740" t="s">
        <v>785</v>
      </c>
      <c r="B740">
        <v>42</v>
      </c>
      <c r="C740" t="s">
        <v>18</v>
      </c>
      <c r="D740" t="s">
        <v>19</v>
      </c>
      <c r="E740" t="s">
        <v>40</v>
      </c>
      <c r="F740">
        <v>8037</v>
      </c>
      <c r="G740">
        <v>0</v>
      </c>
      <c r="H740" t="s">
        <v>46</v>
      </c>
      <c r="I740" t="s">
        <v>31</v>
      </c>
      <c r="J740">
        <v>4</v>
      </c>
      <c r="K740">
        <v>2</v>
      </c>
      <c r="L740" t="s">
        <v>27</v>
      </c>
      <c r="M740">
        <v>4</v>
      </c>
      <c r="N740">
        <v>14</v>
      </c>
      <c r="O740">
        <v>0</v>
      </c>
      <c r="P740">
        <v>2</v>
      </c>
      <c r="Q740" t="s">
        <v>27</v>
      </c>
    </row>
    <row r="741" spans="1:17" x14ac:dyDescent="0.3">
      <c r="A741" t="s">
        <v>786</v>
      </c>
      <c r="B741">
        <v>29</v>
      </c>
      <c r="C741" t="s">
        <v>18</v>
      </c>
      <c r="D741" t="s">
        <v>74</v>
      </c>
      <c r="E741" t="s">
        <v>99</v>
      </c>
      <c r="F741">
        <v>8279</v>
      </c>
      <c r="G741">
        <v>4</v>
      </c>
      <c r="H741" t="s">
        <v>33</v>
      </c>
      <c r="I741" t="s">
        <v>31</v>
      </c>
      <c r="J741">
        <v>4</v>
      </c>
      <c r="K741">
        <v>2</v>
      </c>
      <c r="L741" t="s">
        <v>27</v>
      </c>
      <c r="M741">
        <v>3</v>
      </c>
      <c r="N741">
        <v>14</v>
      </c>
      <c r="O741">
        <v>5</v>
      </c>
      <c r="P741">
        <v>2</v>
      </c>
      <c r="Q741" t="s">
        <v>27</v>
      </c>
    </row>
    <row r="742" spans="1:17" x14ac:dyDescent="0.3">
      <c r="A742" t="s">
        <v>787</v>
      </c>
      <c r="B742">
        <v>25</v>
      </c>
      <c r="C742" t="s">
        <v>18</v>
      </c>
      <c r="D742" t="s">
        <v>25</v>
      </c>
      <c r="E742" t="s">
        <v>26</v>
      </c>
      <c r="F742">
        <v>10040</v>
      </c>
      <c r="G742">
        <v>4</v>
      </c>
      <c r="H742" t="s">
        <v>37</v>
      </c>
      <c r="I742" t="s">
        <v>56</v>
      </c>
      <c r="J742">
        <v>3</v>
      </c>
      <c r="K742">
        <v>2</v>
      </c>
      <c r="L742" t="s">
        <v>23</v>
      </c>
      <c r="M742">
        <v>3</v>
      </c>
      <c r="N742">
        <v>27</v>
      </c>
      <c r="O742">
        <v>1</v>
      </c>
      <c r="P742">
        <v>1</v>
      </c>
      <c r="Q742" t="s">
        <v>27</v>
      </c>
    </row>
    <row r="743" spans="1:17" x14ac:dyDescent="0.3">
      <c r="A743" t="s">
        <v>788</v>
      </c>
      <c r="B743">
        <v>30</v>
      </c>
      <c r="C743" t="s">
        <v>35</v>
      </c>
      <c r="D743" t="s">
        <v>19</v>
      </c>
      <c r="E743" t="s">
        <v>36</v>
      </c>
      <c r="F743">
        <v>7396</v>
      </c>
      <c r="G743">
        <v>4</v>
      </c>
      <c r="H743" t="s">
        <v>21</v>
      </c>
      <c r="I743" t="s">
        <v>31</v>
      </c>
      <c r="J743">
        <v>4</v>
      </c>
      <c r="K743">
        <v>3</v>
      </c>
      <c r="L743" t="s">
        <v>27</v>
      </c>
      <c r="M743">
        <v>2</v>
      </c>
      <c r="N743">
        <v>3</v>
      </c>
      <c r="O743">
        <v>6</v>
      </c>
      <c r="P743">
        <v>4</v>
      </c>
      <c r="Q743" t="s">
        <v>27</v>
      </c>
    </row>
    <row r="744" spans="1:17" x14ac:dyDescent="0.3">
      <c r="A744" t="s">
        <v>789</v>
      </c>
      <c r="B744">
        <v>18</v>
      </c>
      <c r="C744" t="s">
        <v>18</v>
      </c>
      <c r="D744" t="s">
        <v>44</v>
      </c>
      <c r="E744" t="s">
        <v>45</v>
      </c>
      <c r="F744">
        <v>10853</v>
      </c>
      <c r="G744">
        <v>0</v>
      </c>
      <c r="H744" t="s">
        <v>37</v>
      </c>
      <c r="I744" t="s">
        <v>22</v>
      </c>
      <c r="J744">
        <v>4</v>
      </c>
      <c r="K744">
        <v>2</v>
      </c>
      <c r="L744" t="s">
        <v>27</v>
      </c>
      <c r="M744">
        <v>3</v>
      </c>
      <c r="N744">
        <v>25</v>
      </c>
      <c r="O744">
        <v>1</v>
      </c>
      <c r="P744">
        <v>4</v>
      </c>
      <c r="Q744" t="s">
        <v>27</v>
      </c>
    </row>
    <row r="745" spans="1:17" x14ac:dyDescent="0.3">
      <c r="A745" t="s">
        <v>790</v>
      </c>
      <c r="B745">
        <v>34</v>
      </c>
      <c r="C745" t="s">
        <v>35</v>
      </c>
      <c r="D745" t="s">
        <v>70</v>
      </c>
      <c r="E745" t="s">
        <v>144</v>
      </c>
      <c r="F745">
        <v>14428</v>
      </c>
      <c r="G745">
        <v>11</v>
      </c>
      <c r="H745" t="s">
        <v>37</v>
      </c>
      <c r="I745" t="s">
        <v>31</v>
      </c>
      <c r="J745">
        <v>3</v>
      </c>
      <c r="K745">
        <v>1</v>
      </c>
      <c r="L745" t="s">
        <v>27</v>
      </c>
      <c r="M745">
        <v>3</v>
      </c>
      <c r="N745">
        <v>14</v>
      </c>
      <c r="O745">
        <v>3</v>
      </c>
      <c r="P745">
        <v>2</v>
      </c>
      <c r="Q745" t="s">
        <v>27</v>
      </c>
    </row>
    <row r="746" spans="1:17" x14ac:dyDescent="0.3">
      <c r="A746" t="s">
        <v>791</v>
      </c>
      <c r="B746">
        <v>44</v>
      </c>
      <c r="C746" t="s">
        <v>18</v>
      </c>
      <c r="D746" t="s">
        <v>25</v>
      </c>
      <c r="E746" t="s">
        <v>20</v>
      </c>
      <c r="F746">
        <v>17028</v>
      </c>
      <c r="G746">
        <v>5</v>
      </c>
      <c r="H746" t="s">
        <v>37</v>
      </c>
      <c r="I746" t="s">
        <v>22</v>
      </c>
      <c r="J746">
        <v>3</v>
      </c>
      <c r="K746">
        <v>3</v>
      </c>
      <c r="L746" t="s">
        <v>23</v>
      </c>
      <c r="M746">
        <v>3</v>
      </c>
      <c r="N746">
        <v>14</v>
      </c>
      <c r="O746">
        <v>0</v>
      </c>
      <c r="P746">
        <v>2</v>
      </c>
      <c r="Q746" t="s">
        <v>23</v>
      </c>
    </row>
    <row r="747" spans="1:17" x14ac:dyDescent="0.3">
      <c r="A747" t="s">
        <v>792</v>
      </c>
      <c r="B747">
        <v>36</v>
      </c>
      <c r="C747" t="s">
        <v>18</v>
      </c>
      <c r="D747" t="s">
        <v>25</v>
      </c>
      <c r="E747" t="s">
        <v>26</v>
      </c>
      <c r="F747">
        <v>7962</v>
      </c>
      <c r="G747">
        <v>2</v>
      </c>
      <c r="H747" t="s">
        <v>33</v>
      </c>
      <c r="I747" t="s">
        <v>22</v>
      </c>
      <c r="J747">
        <v>2</v>
      </c>
      <c r="K747">
        <v>3</v>
      </c>
      <c r="L747" t="s">
        <v>27</v>
      </c>
      <c r="M747">
        <v>3</v>
      </c>
      <c r="N747">
        <v>17</v>
      </c>
      <c r="O747">
        <v>1</v>
      </c>
      <c r="P747">
        <v>4</v>
      </c>
      <c r="Q747" t="s">
        <v>27</v>
      </c>
    </row>
    <row r="748" spans="1:17" x14ac:dyDescent="0.3">
      <c r="A748" t="s">
        <v>793</v>
      </c>
      <c r="B748">
        <v>34</v>
      </c>
      <c r="C748" t="s">
        <v>18</v>
      </c>
      <c r="D748" t="s">
        <v>74</v>
      </c>
      <c r="E748" t="s">
        <v>75</v>
      </c>
      <c r="F748">
        <v>3861</v>
      </c>
      <c r="G748">
        <v>1</v>
      </c>
      <c r="H748" t="s">
        <v>37</v>
      </c>
      <c r="I748" t="s">
        <v>22</v>
      </c>
      <c r="J748">
        <v>1</v>
      </c>
      <c r="K748">
        <v>2</v>
      </c>
      <c r="L748" t="s">
        <v>23</v>
      </c>
      <c r="M748">
        <v>1</v>
      </c>
      <c r="N748">
        <v>23</v>
      </c>
      <c r="O748">
        <v>6</v>
      </c>
      <c r="P748">
        <v>3</v>
      </c>
      <c r="Q748" t="s">
        <v>27</v>
      </c>
    </row>
    <row r="749" spans="1:17" x14ac:dyDescent="0.3">
      <c r="A749" t="s">
        <v>794</v>
      </c>
      <c r="B749">
        <v>37</v>
      </c>
      <c r="C749" t="s">
        <v>35</v>
      </c>
      <c r="D749" t="s">
        <v>70</v>
      </c>
      <c r="E749" t="s">
        <v>71</v>
      </c>
      <c r="F749">
        <v>8669</v>
      </c>
      <c r="G749">
        <v>6</v>
      </c>
      <c r="H749" t="s">
        <v>37</v>
      </c>
      <c r="I749" t="s">
        <v>22</v>
      </c>
      <c r="J749">
        <v>3</v>
      </c>
      <c r="K749">
        <v>3</v>
      </c>
      <c r="L749" t="s">
        <v>27</v>
      </c>
      <c r="M749">
        <v>3</v>
      </c>
      <c r="N749">
        <v>14</v>
      </c>
      <c r="O749">
        <v>5</v>
      </c>
      <c r="P749">
        <v>1</v>
      </c>
      <c r="Q749" t="s">
        <v>27</v>
      </c>
    </row>
    <row r="750" spans="1:17" x14ac:dyDescent="0.3">
      <c r="A750" t="s">
        <v>795</v>
      </c>
      <c r="B750">
        <v>52</v>
      </c>
      <c r="C750" t="s">
        <v>18</v>
      </c>
      <c r="D750" t="s">
        <v>19</v>
      </c>
      <c r="E750" t="s">
        <v>40</v>
      </c>
      <c r="F750">
        <v>9645</v>
      </c>
      <c r="G750">
        <v>8</v>
      </c>
      <c r="H750" t="s">
        <v>37</v>
      </c>
      <c r="I750" t="s">
        <v>22</v>
      </c>
      <c r="J750">
        <v>2</v>
      </c>
      <c r="K750">
        <v>4</v>
      </c>
      <c r="L750" t="s">
        <v>23</v>
      </c>
      <c r="M750">
        <v>3</v>
      </c>
      <c r="N750">
        <v>13</v>
      </c>
      <c r="O750">
        <v>5</v>
      </c>
      <c r="P750">
        <v>4</v>
      </c>
      <c r="Q750" t="s">
        <v>27</v>
      </c>
    </row>
    <row r="751" spans="1:17" x14ac:dyDescent="0.3">
      <c r="A751" t="s">
        <v>796</v>
      </c>
      <c r="B751">
        <v>35</v>
      </c>
      <c r="C751" t="s">
        <v>18</v>
      </c>
      <c r="D751" t="s">
        <v>44</v>
      </c>
      <c r="E751" t="s">
        <v>20</v>
      </c>
      <c r="F751">
        <v>12611</v>
      </c>
      <c r="G751">
        <v>3</v>
      </c>
      <c r="H751" t="s">
        <v>37</v>
      </c>
      <c r="I751" t="s">
        <v>56</v>
      </c>
      <c r="J751">
        <v>3</v>
      </c>
      <c r="K751">
        <v>3</v>
      </c>
      <c r="L751" t="s">
        <v>27</v>
      </c>
      <c r="M751">
        <v>3</v>
      </c>
      <c r="N751">
        <v>24</v>
      </c>
      <c r="O751">
        <v>3</v>
      </c>
      <c r="P751">
        <v>1</v>
      </c>
      <c r="Q751" t="s">
        <v>27</v>
      </c>
    </row>
    <row r="752" spans="1:17" x14ac:dyDescent="0.3">
      <c r="A752" t="s">
        <v>797</v>
      </c>
      <c r="B752">
        <v>29</v>
      </c>
      <c r="C752" t="s">
        <v>35</v>
      </c>
      <c r="D752" t="s">
        <v>74</v>
      </c>
      <c r="E752" t="s">
        <v>99</v>
      </c>
      <c r="F752">
        <v>11612</v>
      </c>
      <c r="G752">
        <v>2</v>
      </c>
      <c r="H752" t="s">
        <v>37</v>
      </c>
      <c r="I752" t="s">
        <v>22</v>
      </c>
      <c r="J752">
        <v>3</v>
      </c>
      <c r="K752">
        <v>4</v>
      </c>
      <c r="L752" t="s">
        <v>23</v>
      </c>
      <c r="M752">
        <v>3</v>
      </c>
      <c r="N752">
        <v>1</v>
      </c>
      <c r="O752">
        <v>1</v>
      </c>
      <c r="P752">
        <v>4</v>
      </c>
      <c r="Q752" t="s">
        <v>27</v>
      </c>
    </row>
    <row r="753" spans="1:17" x14ac:dyDescent="0.3">
      <c r="A753" t="s">
        <v>798</v>
      </c>
      <c r="B753">
        <v>30</v>
      </c>
      <c r="C753" t="s">
        <v>35</v>
      </c>
      <c r="D753" t="s">
        <v>29</v>
      </c>
      <c r="E753" t="s">
        <v>49</v>
      </c>
      <c r="F753">
        <v>11003</v>
      </c>
      <c r="G753">
        <v>4</v>
      </c>
      <c r="H753" t="s">
        <v>37</v>
      </c>
      <c r="I753" t="s">
        <v>31</v>
      </c>
      <c r="J753">
        <v>4</v>
      </c>
      <c r="K753">
        <v>2</v>
      </c>
      <c r="L753" t="s">
        <v>27</v>
      </c>
      <c r="M753">
        <v>3</v>
      </c>
      <c r="N753">
        <v>12</v>
      </c>
      <c r="O753">
        <v>0</v>
      </c>
      <c r="P753">
        <v>3</v>
      </c>
      <c r="Q753" t="s">
        <v>27</v>
      </c>
    </row>
    <row r="754" spans="1:17" x14ac:dyDescent="0.3">
      <c r="A754" t="s">
        <v>799</v>
      </c>
      <c r="B754">
        <v>36</v>
      </c>
      <c r="C754" t="s">
        <v>35</v>
      </c>
      <c r="D754" t="s">
        <v>44</v>
      </c>
      <c r="E754" t="s">
        <v>45</v>
      </c>
      <c r="F754">
        <v>5229</v>
      </c>
      <c r="G754">
        <v>1</v>
      </c>
      <c r="H754" t="s">
        <v>37</v>
      </c>
      <c r="I754" t="s">
        <v>22</v>
      </c>
      <c r="J754">
        <v>4</v>
      </c>
      <c r="K754">
        <v>2</v>
      </c>
      <c r="L754" t="s">
        <v>27</v>
      </c>
      <c r="M754">
        <v>2</v>
      </c>
      <c r="N754">
        <v>11</v>
      </c>
      <c r="O754">
        <v>3</v>
      </c>
      <c r="P754">
        <v>1</v>
      </c>
      <c r="Q754" t="s">
        <v>27</v>
      </c>
    </row>
    <row r="755" spans="1:17" x14ac:dyDescent="0.3">
      <c r="A755" t="s">
        <v>800</v>
      </c>
      <c r="B755">
        <v>25</v>
      </c>
      <c r="C755" t="s">
        <v>35</v>
      </c>
      <c r="D755" t="s">
        <v>29</v>
      </c>
      <c r="E755" t="s">
        <v>49</v>
      </c>
      <c r="F755">
        <v>4380</v>
      </c>
      <c r="G755">
        <v>0</v>
      </c>
      <c r="H755" t="s">
        <v>37</v>
      </c>
      <c r="I755" t="s">
        <v>22</v>
      </c>
      <c r="J755">
        <v>1</v>
      </c>
      <c r="K755">
        <v>4</v>
      </c>
      <c r="L755" t="s">
        <v>27</v>
      </c>
      <c r="M755">
        <v>2</v>
      </c>
      <c r="N755">
        <v>24</v>
      </c>
      <c r="O755">
        <v>4</v>
      </c>
      <c r="P755">
        <v>1</v>
      </c>
      <c r="Q755" t="s">
        <v>27</v>
      </c>
    </row>
    <row r="756" spans="1:17" x14ac:dyDescent="0.3">
      <c r="A756" t="s">
        <v>801</v>
      </c>
      <c r="B756">
        <v>38</v>
      </c>
      <c r="C756" t="s">
        <v>18</v>
      </c>
      <c r="D756" t="s">
        <v>70</v>
      </c>
      <c r="E756" t="s">
        <v>20</v>
      </c>
      <c r="F756">
        <v>13740</v>
      </c>
      <c r="G756">
        <v>1</v>
      </c>
      <c r="H756" t="s">
        <v>46</v>
      </c>
      <c r="I756" t="s">
        <v>31</v>
      </c>
      <c r="J756">
        <v>1</v>
      </c>
      <c r="K756">
        <v>1</v>
      </c>
      <c r="L756" t="s">
        <v>23</v>
      </c>
      <c r="M756">
        <v>3</v>
      </c>
      <c r="N756">
        <v>3</v>
      </c>
      <c r="O756">
        <v>4</v>
      </c>
      <c r="P756">
        <v>4</v>
      </c>
      <c r="Q756" t="s">
        <v>27</v>
      </c>
    </row>
    <row r="757" spans="1:17" x14ac:dyDescent="0.3">
      <c r="A757" t="s">
        <v>802</v>
      </c>
      <c r="B757">
        <v>29</v>
      </c>
      <c r="C757" t="s">
        <v>35</v>
      </c>
      <c r="D757" t="s">
        <v>74</v>
      </c>
      <c r="E757" t="s">
        <v>99</v>
      </c>
      <c r="F757">
        <v>6419</v>
      </c>
      <c r="G757">
        <v>3</v>
      </c>
      <c r="H757" t="s">
        <v>37</v>
      </c>
      <c r="I757" t="s">
        <v>31</v>
      </c>
      <c r="J757">
        <v>1</v>
      </c>
      <c r="K757">
        <v>4</v>
      </c>
      <c r="L757" t="s">
        <v>27</v>
      </c>
      <c r="M757">
        <v>3</v>
      </c>
      <c r="N757">
        <v>6</v>
      </c>
      <c r="O757">
        <v>3</v>
      </c>
      <c r="P757">
        <v>1</v>
      </c>
      <c r="Q757" t="s">
        <v>23</v>
      </c>
    </row>
    <row r="758" spans="1:17" x14ac:dyDescent="0.3">
      <c r="A758" t="s">
        <v>803</v>
      </c>
      <c r="B758">
        <v>32</v>
      </c>
      <c r="C758" t="s">
        <v>18</v>
      </c>
      <c r="D758" t="s">
        <v>19</v>
      </c>
      <c r="E758" t="s">
        <v>40</v>
      </c>
      <c r="F758">
        <v>4277</v>
      </c>
      <c r="G758">
        <v>1</v>
      </c>
      <c r="H758" t="s">
        <v>21</v>
      </c>
      <c r="I758" t="s">
        <v>22</v>
      </c>
      <c r="J758">
        <v>2</v>
      </c>
      <c r="K758">
        <v>1</v>
      </c>
      <c r="L758" t="s">
        <v>27</v>
      </c>
      <c r="M758">
        <v>2</v>
      </c>
      <c r="N758">
        <v>5</v>
      </c>
      <c r="O758">
        <v>2</v>
      </c>
      <c r="P758">
        <v>1</v>
      </c>
      <c r="Q758" t="s">
        <v>27</v>
      </c>
    </row>
    <row r="759" spans="1:17" x14ac:dyDescent="0.3">
      <c r="A759" t="s">
        <v>804</v>
      </c>
      <c r="B759">
        <v>34</v>
      </c>
      <c r="C759" t="s">
        <v>18</v>
      </c>
      <c r="D759" t="s">
        <v>25</v>
      </c>
      <c r="E759" t="s">
        <v>26</v>
      </c>
      <c r="F759">
        <v>15746</v>
      </c>
      <c r="G759">
        <v>10</v>
      </c>
      <c r="H759" t="s">
        <v>46</v>
      </c>
      <c r="I759" t="s">
        <v>31</v>
      </c>
      <c r="J759">
        <v>3</v>
      </c>
      <c r="K759">
        <v>1</v>
      </c>
      <c r="L759" t="s">
        <v>27</v>
      </c>
      <c r="M759">
        <v>3</v>
      </c>
      <c r="N759">
        <v>1</v>
      </c>
      <c r="O759">
        <v>4</v>
      </c>
      <c r="P759">
        <v>1</v>
      </c>
      <c r="Q759" t="s">
        <v>27</v>
      </c>
    </row>
    <row r="760" spans="1:17" x14ac:dyDescent="0.3">
      <c r="A760" t="s">
        <v>805</v>
      </c>
      <c r="B760">
        <v>18</v>
      </c>
      <c r="C760" t="s">
        <v>35</v>
      </c>
      <c r="D760" t="s">
        <v>19</v>
      </c>
      <c r="E760" t="s">
        <v>40</v>
      </c>
      <c r="F760">
        <v>4860</v>
      </c>
      <c r="G760">
        <v>0</v>
      </c>
      <c r="H760" t="s">
        <v>37</v>
      </c>
      <c r="I760" t="s">
        <v>31</v>
      </c>
      <c r="J760">
        <v>1</v>
      </c>
      <c r="K760">
        <v>2</v>
      </c>
      <c r="L760" t="s">
        <v>23</v>
      </c>
      <c r="M760">
        <v>4</v>
      </c>
      <c r="N760">
        <v>26</v>
      </c>
      <c r="O760">
        <v>2</v>
      </c>
      <c r="P760">
        <v>4</v>
      </c>
      <c r="Q760" t="s">
        <v>23</v>
      </c>
    </row>
    <row r="761" spans="1:17" x14ac:dyDescent="0.3">
      <c r="A761" t="s">
        <v>806</v>
      </c>
      <c r="B761">
        <v>26</v>
      </c>
      <c r="C761" t="s">
        <v>35</v>
      </c>
      <c r="D761" t="s">
        <v>19</v>
      </c>
      <c r="E761" t="s">
        <v>40</v>
      </c>
      <c r="F761">
        <v>8012</v>
      </c>
      <c r="G761">
        <v>4</v>
      </c>
      <c r="H761" t="s">
        <v>33</v>
      </c>
      <c r="I761" t="s">
        <v>56</v>
      </c>
      <c r="J761">
        <v>2</v>
      </c>
      <c r="K761">
        <v>3</v>
      </c>
      <c r="L761" t="s">
        <v>27</v>
      </c>
      <c r="M761">
        <v>1</v>
      </c>
      <c r="N761">
        <v>13</v>
      </c>
      <c r="O761">
        <v>6</v>
      </c>
      <c r="P761">
        <v>4</v>
      </c>
      <c r="Q761" t="s">
        <v>27</v>
      </c>
    </row>
    <row r="762" spans="1:17" x14ac:dyDescent="0.3">
      <c r="A762" t="s">
        <v>807</v>
      </c>
      <c r="B762">
        <v>32</v>
      </c>
      <c r="C762" t="s">
        <v>18</v>
      </c>
      <c r="D762" t="s">
        <v>19</v>
      </c>
      <c r="E762" t="s">
        <v>40</v>
      </c>
      <c r="F762">
        <v>13114</v>
      </c>
      <c r="G762">
        <v>14</v>
      </c>
      <c r="H762" t="s">
        <v>33</v>
      </c>
      <c r="I762" t="s">
        <v>22</v>
      </c>
      <c r="J762">
        <v>2</v>
      </c>
      <c r="K762">
        <v>1</v>
      </c>
      <c r="L762" t="s">
        <v>27</v>
      </c>
      <c r="M762">
        <v>4</v>
      </c>
      <c r="N762">
        <v>12</v>
      </c>
      <c r="O762">
        <v>6</v>
      </c>
      <c r="P762">
        <v>3</v>
      </c>
      <c r="Q762" t="s">
        <v>27</v>
      </c>
    </row>
    <row r="763" spans="1:17" x14ac:dyDescent="0.3">
      <c r="A763" t="s">
        <v>808</v>
      </c>
      <c r="B763">
        <v>36</v>
      </c>
      <c r="C763" t="s">
        <v>18</v>
      </c>
      <c r="D763" t="s">
        <v>44</v>
      </c>
      <c r="E763" t="s">
        <v>45</v>
      </c>
      <c r="F763">
        <v>11148</v>
      </c>
      <c r="G763">
        <v>3</v>
      </c>
      <c r="H763" t="s">
        <v>46</v>
      </c>
      <c r="I763" t="s">
        <v>22</v>
      </c>
      <c r="J763">
        <v>4</v>
      </c>
      <c r="K763">
        <v>1</v>
      </c>
      <c r="L763" t="s">
        <v>27</v>
      </c>
      <c r="M763">
        <v>2</v>
      </c>
      <c r="N763">
        <v>22</v>
      </c>
      <c r="O763">
        <v>4</v>
      </c>
      <c r="P763">
        <v>1</v>
      </c>
      <c r="Q763" t="s">
        <v>27</v>
      </c>
    </row>
    <row r="764" spans="1:17" x14ac:dyDescent="0.3">
      <c r="A764" t="s">
        <v>809</v>
      </c>
      <c r="B764">
        <v>33</v>
      </c>
      <c r="C764" t="s">
        <v>35</v>
      </c>
      <c r="D764" t="s">
        <v>19</v>
      </c>
      <c r="E764" t="s">
        <v>40</v>
      </c>
      <c r="F764">
        <v>8153</v>
      </c>
      <c r="G764">
        <v>10</v>
      </c>
      <c r="H764" t="s">
        <v>37</v>
      </c>
      <c r="I764" t="s">
        <v>31</v>
      </c>
      <c r="J764">
        <v>2</v>
      </c>
      <c r="K764">
        <v>4</v>
      </c>
      <c r="L764" t="s">
        <v>27</v>
      </c>
      <c r="M764">
        <v>2</v>
      </c>
      <c r="N764">
        <v>2</v>
      </c>
      <c r="O764">
        <v>2</v>
      </c>
      <c r="P764">
        <v>3</v>
      </c>
      <c r="Q764" t="s">
        <v>27</v>
      </c>
    </row>
    <row r="765" spans="1:17" x14ac:dyDescent="0.3">
      <c r="A765" t="s">
        <v>810</v>
      </c>
      <c r="B765">
        <v>35</v>
      </c>
      <c r="C765" t="s">
        <v>35</v>
      </c>
      <c r="D765" t="s">
        <v>19</v>
      </c>
      <c r="E765" t="s">
        <v>20</v>
      </c>
      <c r="F765">
        <v>9135</v>
      </c>
      <c r="G765">
        <v>0</v>
      </c>
      <c r="H765" t="s">
        <v>37</v>
      </c>
      <c r="I765" t="s">
        <v>31</v>
      </c>
      <c r="J765">
        <v>2</v>
      </c>
      <c r="K765">
        <v>4</v>
      </c>
      <c r="L765" t="s">
        <v>27</v>
      </c>
      <c r="M765">
        <v>3</v>
      </c>
      <c r="N765">
        <v>24</v>
      </c>
      <c r="O765">
        <v>5</v>
      </c>
      <c r="P765">
        <v>2</v>
      </c>
      <c r="Q765" t="s">
        <v>23</v>
      </c>
    </row>
    <row r="766" spans="1:17" x14ac:dyDescent="0.3">
      <c r="A766" t="s">
        <v>811</v>
      </c>
      <c r="B766">
        <v>31</v>
      </c>
      <c r="C766" t="s">
        <v>35</v>
      </c>
      <c r="D766" t="s">
        <v>70</v>
      </c>
      <c r="E766" t="s">
        <v>71</v>
      </c>
      <c r="F766">
        <v>8795</v>
      </c>
      <c r="G766">
        <v>0</v>
      </c>
      <c r="H766" t="s">
        <v>33</v>
      </c>
      <c r="I766" t="s">
        <v>56</v>
      </c>
      <c r="J766">
        <v>2</v>
      </c>
      <c r="K766">
        <v>2</v>
      </c>
      <c r="L766" t="s">
        <v>27</v>
      </c>
      <c r="M766">
        <v>2</v>
      </c>
      <c r="N766">
        <v>4</v>
      </c>
      <c r="O766">
        <v>6</v>
      </c>
      <c r="P766">
        <v>2</v>
      </c>
      <c r="Q766" t="s">
        <v>27</v>
      </c>
    </row>
    <row r="767" spans="1:17" x14ac:dyDescent="0.3">
      <c r="A767" t="s">
        <v>812</v>
      </c>
      <c r="B767">
        <v>30</v>
      </c>
      <c r="C767" t="s">
        <v>35</v>
      </c>
      <c r="D767" t="s">
        <v>25</v>
      </c>
      <c r="E767" t="s">
        <v>26</v>
      </c>
      <c r="F767">
        <v>10318</v>
      </c>
      <c r="G767">
        <v>4</v>
      </c>
      <c r="H767" t="s">
        <v>37</v>
      </c>
      <c r="I767" t="s">
        <v>22</v>
      </c>
      <c r="J767">
        <v>4</v>
      </c>
      <c r="K767">
        <v>1</v>
      </c>
      <c r="L767" t="s">
        <v>27</v>
      </c>
      <c r="M767">
        <v>4</v>
      </c>
      <c r="N767">
        <v>9</v>
      </c>
      <c r="O767">
        <v>6</v>
      </c>
      <c r="P767">
        <v>3</v>
      </c>
      <c r="Q767" t="s">
        <v>27</v>
      </c>
    </row>
    <row r="768" spans="1:17" x14ac:dyDescent="0.3">
      <c r="A768" t="s">
        <v>813</v>
      </c>
      <c r="B768">
        <v>39</v>
      </c>
      <c r="C768" t="s">
        <v>18</v>
      </c>
      <c r="D768" t="s">
        <v>29</v>
      </c>
      <c r="E768" t="s">
        <v>30</v>
      </c>
      <c r="F768">
        <v>10377</v>
      </c>
      <c r="G768">
        <v>6</v>
      </c>
      <c r="H768" t="s">
        <v>37</v>
      </c>
      <c r="I768" t="s">
        <v>22</v>
      </c>
      <c r="J768">
        <v>4</v>
      </c>
      <c r="K768">
        <v>2</v>
      </c>
      <c r="L768" t="s">
        <v>27</v>
      </c>
      <c r="M768">
        <v>4</v>
      </c>
      <c r="N768">
        <v>3</v>
      </c>
      <c r="O768">
        <v>5</v>
      </c>
      <c r="P768">
        <v>1</v>
      </c>
      <c r="Q768" t="s">
        <v>27</v>
      </c>
    </row>
    <row r="769" spans="1:17" x14ac:dyDescent="0.3">
      <c r="A769" t="s">
        <v>814</v>
      </c>
      <c r="B769">
        <v>39</v>
      </c>
      <c r="C769" t="s">
        <v>18</v>
      </c>
      <c r="D769" t="s">
        <v>29</v>
      </c>
      <c r="E769" t="s">
        <v>30</v>
      </c>
      <c r="F769">
        <v>10473</v>
      </c>
      <c r="G769">
        <v>9</v>
      </c>
      <c r="H769" t="s">
        <v>37</v>
      </c>
      <c r="I769" t="s">
        <v>31</v>
      </c>
      <c r="J769">
        <v>3</v>
      </c>
      <c r="K769">
        <v>1</v>
      </c>
      <c r="L769" t="s">
        <v>27</v>
      </c>
      <c r="M769">
        <v>3</v>
      </c>
      <c r="N769">
        <v>24</v>
      </c>
      <c r="O769">
        <v>0</v>
      </c>
      <c r="P769">
        <v>2</v>
      </c>
      <c r="Q769" t="s">
        <v>27</v>
      </c>
    </row>
    <row r="770" spans="1:17" x14ac:dyDescent="0.3">
      <c r="A770" t="s">
        <v>815</v>
      </c>
      <c r="B770">
        <v>29</v>
      </c>
      <c r="C770" t="s">
        <v>18</v>
      </c>
      <c r="D770" t="s">
        <v>19</v>
      </c>
      <c r="E770" t="s">
        <v>36</v>
      </c>
      <c r="F770">
        <v>6646</v>
      </c>
      <c r="G770">
        <v>0</v>
      </c>
      <c r="H770" t="s">
        <v>37</v>
      </c>
      <c r="I770" t="s">
        <v>31</v>
      </c>
      <c r="J770">
        <v>1</v>
      </c>
      <c r="K770">
        <v>3</v>
      </c>
      <c r="L770" t="s">
        <v>27</v>
      </c>
      <c r="M770">
        <v>4</v>
      </c>
      <c r="N770">
        <v>1</v>
      </c>
      <c r="O770">
        <v>3</v>
      </c>
      <c r="P770">
        <v>4</v>
      </c>
      <c r="Q770" t="s">
        <v>27</v>
      </c>
    </row>
    <row r="771" spans="1:17" x14ac:dyDescent="0.3">
      <c r="A771" t="s">
        <v>816</v>
      </c>
      <c r="B771">
        <v>20</v>
      </c>
      <c r="C771" t="s">
        <v>18</v>
      </c>
      <c r="D771" t="s">
        <v>25</v>
      </c>
      <c r="E771" t="s">
        <v>61</v>
      </c>
      <c r="F771">
        <v>7907</v>
      </c>
      <c r="G771">
        <v>2</v>
      </c>
      <c r="H771" t="s">
        <v>37</v>
      </c>
      <c r="I771" t="s">
        <v>22</v>
      </c>
      <c r="J771">
        <v>2</v>
      </c>
      <c r="K771">
        <v>2</v>
      </c>
      <c r="L771" t="s">
        <v>23</v>
      </c>
      <c r="M771">
        <v>3</v>
      </c>
      <c r="N771">
        <v>29</v>
      </c>
      <c r="O771">
        <v>3</v>
      </c>
      <c r="P771">
        <v>3</v>
      </c>
      <c r="Q771" t="s">
        <v>27</v>
      </c>
    </row>
    <row r="772" spans="1:17" x14ac:dyDescent="0.3">
      <c r="A772" t="s">
        <v>817</v>
      </c>
      <c r="B772">
        <v>43</v>
      </c>
      <c r="C772" t="s">
        <v>18</v>
      </c>
      <c r="D772" t="s">
        <v>44</v>
      </c>
      <c r="E772" t="s">
        <v>20</v>
      </c>
      <c r="F772">
        <v>13435</v>
      </c>
      <c r="G772">
        <v>2</v>
      </c>
      <c r="H772" t="s">
        <v>37</v>
      </c>
      <c r="I772" t="s">
        <v>22</v>
      </c>
      <c r="J772">
        <v>2</v>
      </c>
      <c r="K772">
        <v>3</v>
      </c>
      <c r="L772" t="s">
        <v>23</v>
      </c>
      <c r="M772">
        <v>3</v>
      </c>
      <c r="N772">
        <v>26</v>
      </c>
      <c r="O772">
        <v>5</v>
      </c>
      <c r="P772">
        <v>3</v>
      </c>
      <c r="Q772" t="s">
        <v>27</v>
      </c>
    </row>
    <row r="773" spans="1:17" x14ac:dyDescent="0.3">
      <c r="A773" t="s">
        <v>818</v>
      </c>
      <c r="B773">
        <v>39</v>
      </c>
      <c r="C773" t="s">
        <v>35</v>
      </c>
      <c r="D773" t="s">
        <v>19</v>
      </c>
      <c r="E773" t="s">
        <v>36</v>
      </c>
      <c r="F773">
        <v>6301</v>
      </c>
      <c r="G773">
        <v>1</v>
      </c>
      <c r="H773" t="s">
        <v>37</v>
      </c>
      <c r="I773" t="s">
        <v>22</v>
      </c>
      <c r="J773">
        <v>2</v>
      </c>
      <c r="K773">
        <v>2</v>
      </c>
      <c r="L773" t="s">
        <v>23</v>
      </c>
      <c r="M773">
        <v>2</v>
      </c>
      <c r="N773">
        <v>6</v>
      </c>
      <c r="O773">
        <v>0</v>
      </c>
      <c r="P773">
        <v>1</v>
      </c>
      <c r="Q773" t="s">
        <v>27</v>
      </c>
    </row>
    <row r="774" spans="1:17" x14ac:dyDescent="0.3">
      <c r="A774" t="s">
        <v>819</v>
      </c>
      <c r="B774">
        <v>36</v>
      </c>
      <c r="C774" t="s">
        <v>35</v>
      </c>
      <c r="D774" t="s">
        <v>25</v>
      </c>
      <c r="E774" t="s">
        <v>26</v>
      </c>
      <c r="F774">
        <v>6766</v>
      </c>
      <c r="G774">
        <v>0</v>
      </c>
      <c r="H774" t="s">
        <v>37</v>
      </c>
      <c r="I774" t="s">
        <v>31</v>
      </c>
      <c r="J774">
        <v>4</v>
      </c>
      <c r="K774">
        <v>3</v>
      </c>
      <c r="L774" t="s">
        <v>23</v>
      </c>
      <c r="M774">
        <v>3</v>
      </c>
      <c r="N774">
        <v>30</v>
      </c>
      <c r="O774">
        <v>6</v>
      </c>
      <c r="P774">
        <v>2</v>
      </c>
      <c r="Q774" t="s">
        <v>27</v>
      </c>
    </row>
    <row r="775" spans="1:17" x14ac:dyDescent="0.3">
      <c r="A775" t="s">
        <v>820</v>
      </c>
      <c r="B775">
        <v>38</v>
      </c>
      <c r="C775" t="s">
        <v>18</v>
      </c>
      <c r="D775" t="s">
        <v>44</v>
      </c>
      <c r="E775" t="s">
        <v>45</v>
      </c>
      <c r="F775">
        <v>9197</v>
      </c>
      <c r="G775">
        <v>6</v>
      </c>
      <c r="H775" t="s">
        <v>21</v>
      </c>
      <c r="I775" t="s">
        <v>31</v>
      </c>
      <c r="J775">
        <v>1</v>
      </c>
      <c r="K775">
        <v>3</v>
      </c>
      <c r="L775" t="s">
        <v>23</v>
      </c>
      <c r="M775">
        <v>3</v>
      </c>
      <c r="N775">
        <v>5</v>
      </c>
      <c r="O775">
        <v>5</v>
      </c>
      <c r="P775">
        <v>1</v>
      </c>
      <c r="Q775" t="s">
        <v>27</v>
      </c>
    </row>
    <row r="776" spans="1:17" x14ac:dyDescent="0.3">
      <c r="A776" t="s">
        <v>821</v>
      </c>
      <c r="B776">
        <v>46</v>
      </c>
      <c r="C776" t="s">
        <v>35</v>
      </c>
      <c r="D776" t="s">
        <v>29</v>
      </c>
      <c r="E776" t="s">
        <v>49</v>
      </c>
      <c r="F776">
        <v>8297</v>
      </c>
      <c r="G776">
        <v>1</v>
      </c>
      <c r="H776" t="s">
        <v>46</v>
      </c>
      <c r="I776" t="s">
        <v>31</v>
      </c>
      <c r="J776">
        <v>2</v>
      </c>
      <c r="K776">
        <v>4</v>
      </c>
      <c r="L776" t="s">
        <v>27</v>
      </c>
      <c r="M776">
        <v>3</v>
      </c>
      <c r="N776">
        <v>23</v>
      </c>
      <c r="O776">
        <v>2</v>
      </c>
      <c r="P776">
        <v>2</v>
      </c>
      <c r="Q776" t="s">
        <v>23</v>
      </c>
    </row>
    <row r="777" spans="1:17" x14ac:dyDescent="0.3">
      <c r="A777" t="s">
        <v>822</v>
      </c>
      <c r="B777">
        <v>38</v>
      </c>
      <c r="C777" t="s">
        <v>35</v>
      </c>
      <c r="D777" t="s">
        <v>25</v>
      </c>
      <c r="E777" t="s">
        <v>61</v>
      </c>
      <c r="F777">
        <v>9389</v>
      </c>
      <c r="G777">
        <v>5</v>
      </c>
      <c r="H777" t="s">
        <v>37</v>
      </c>
      <c r="I777" t="s">
        <v>22</v>
      </c>
      <c r="J777">
        <v>3</v>
      </c>
      <c r="K777">
        <v>4</v>
      </c>
      <c r="L777" t="s">
        <v>23</v>
      </c>
      <c r="M777">
        <v>3</v>
      </c>
      <c r="N777">
        <v>17</v>
      </c>
      <c r="O777">
        <v>6</v>
      </c>
      <c r="P777">
        <v>1</v>
      </c>
      <c r="Q777" t="s">
        <v>27</v>
      </c>
    </row>
    <row r="778" spans="1:17" x14ac:dyDescent="0.3">
      <c r="A778" t="s">
        <v>823</v>
      </c>
      <c r="B778">
        <v>35</v>
      </c>
      <c r="C778" t="s">
        <v>18</v>
      </c>
      <c r="D778" t="s">
        <v>29</v>
      </c>
      <c r="E778" t="s">
        <v>20</v>
      </c>
      <c r="F778">
        <v>12247</v>
      </c>
      <c r="G778">
        <v>2</v>
      </c>
      <c r="H778" t="s">
        <v>37</v>
      </c>
      <c r="I778" t="s">
        <v>31</v>
      </c>
      <c r="J778">
        <v>3</v>
      </c>
      <c r="K778">
        <v>1</v>
      </c>
      <c r="L778" t="s">
        <v>27</v>
      </c>
      <c r="M778">
        <v>1</v>
      </c>
      <c r="N778">
        <v>28</v>
      </c>
      <c r="O778">
        <v>5</v>
      </c>
      <c r="P778">
        <v>4</v>
      </c>
      <c r="Q778" t="s">
        <v>27</v>
      </c>
    </row>
    <row r="779" spans="1:17" x14ac:dyDescent="0.3">
      <c r="A779" t="s">
        <v>824</v>
      </c>
      <c r="B779">
        <v>34</v>
      </c>
      <c r="C779" t="s">
        <v>35</v>
      </c>
      <c r="D779" t="s">
        <v>19</v>
      </c>
      <c r="E779" t="s">
        <v>40</v>
      </c>
      <c r="F779">
        <v>10997</v>
      </c>
      <c r="G779">
        <v>8</v>
      </c>
      <c r="H779" t="s">
        <v>21</v>
      </c>
      <c r="I779" t="s">
        <v>31</v>
      </c>
      <c r="J779">
        <v>4</v>
      </c>
      <c r="K779">
        <v>3</v>
      </c>
      <c r="L779" t="s">
        <v>23</v>
      </c>
      <c r="M779">
        <v>2</v>
      </c>
      <c r="N779">
        <v>9</v>
      </c>
      <c r="O779">
        <v>0</v>
      </c>
      <c r="P779">
        <v>2</v>
      </c>
      <c r="Q779" t="s">
        <v>27</v>
      </c>
    </row>
    <row r="780" spans="1:17" x14ac:dyDescent="0.3">
      <c r="A780" t="s">
        <v>825</v>
      </c>
      <c r="B780">
        <v>19</v>
      </c>
      <c r="C780" t="s">
        <v>18</v>
      </c>
      <c r="D780" t="s">
        <v>25</v>
      </c>
      <c r="E780" t="s">
        <v>26</v>
      </c>
      <c r="F780">
        <v>10827</v>
      </c>
      <c r="G780">
        <v>0</v>
      </c>
      <c r="H780" t="s">
        <v>37</v>
      </c>
      <c r="I780" t="s">
        <v>22</v>
      </c>
      <c r="J780">
        <v>3</v>
      </c>
      <c r="K780">
        <v>3</v>
      </c>
      <c r="L780" t="s">
        <v>23</v>
      </c>
      <c r="M780">
        <v>3</v>
      </c>
      <c r="N780">
        <v>14</v>
      </c>
      <c r="O780">
        <v>1</v>
      </c>
      <c r="P780">
        <v>1</v>
      </c>
      <c r="Q780" t="s">
        <v>27</v>
      </c>
    </row>
    <row r="781" spans="1:17" x14ac:dyDescent="0.3">
      <c r="A781" t="s">
        <v>826</v>
      </c>
      <c r="B781">
        <v>35</v>
      </c>
      <c r="C781" t="s">
        <v>18</v>
      </c>
      <c r="D781" t="s">
        <v>25</v>
      </c>
      <c r="E781" t="s">
        <v>20</v>
      </c>
      <c r="F781">
        <v>12360</v>
      </c>
      <c r="G781">
        <v>3</v>
      </c>
      <c r="H781" t="s">
        <v>37</v>
      </c>
      <c r="I781" t="s">
        <v>56</v>
      </c>
      <c r="J781">
        <v>3</v>
      </c>
      <c r="K781">
        <v>3</v>
      </c>
      <c r="L781" t="s">
        <v>27</v>
      </c>
      <c r="M781">
        <v>3</v>
      </c>
      <c r="N781">
        <v>2</v>
      </c>
      <c r="O781">
        <v>1</v>
      </c>
      <c r="P781">
        <v>2</v>
      </c>
      <c r="Q781" t="s">
        <v>27</v>
      </c>
    </row>
    <row r="782" spans="1:17" x14ac:dyDescent="0.3">
      <c r="A782" t="s">
        <v>827</v>
      </c>
      <c r="B782">
        <v>31</v>
      </c>
      <c r="C782" t="s">
        <v>35</v>
      </c>
      <c r="D782" t="s">
        <v>44</v>
      </c>
      <c r="E782" t="s">
        <v>20</v>
      </c>
      <c r="F782">
        <v>19036</v>
      </c>
      <c r="G782">
        <v>13</v>
      </c>
      <c r="H782" t="s">
        <v>21</v>
      </c>
      <c r="I782" t="s">
        <v>22</v>
      </c>
      <c r="J782">
        <v>1</v>
      </c>
      <c r="K782">
        <v>2</v>
      </c>
      <c r="L782" t="s">
        <v>27</v>
      </c>
      <c r="M782">
        <v>3</v>
      </c>
      <c r="N782">
        <v>10</v>
      </c>
      <c r="O782">
        <v>3</v>
      </c>
      <c r="P782">
        <v>1</v>
      </c>
      <c r="Q782" t="s">
        <v>27</v>
      </c>
    </row>
    <row r="783" spans="1:17" x14ac:dyDescent="0.3">
      <c r="A783" t="s">
        <v>828</v>
      </c>
      <c r="B783">
        <v>21</v>
      </c>
      <c r="C783" t="s">
        <v>18</v>
      </c>
      <c r="D783" t="s">
        <v>74</v>
      </c>
      <c r="E783" t="s">
        <v>99</v>
      </c>
      <c r="F783">
        <v>6847</v>
      </c>
      <c r="G783">
        <v>3</v>
      </c>
      <c r="H783" t="s">
        <v>37</v>
      </c>
      <c r="I783" t="s">
        <v>31</v>
      </c>
      <c r="J783">
        <v>3</v>
      </c>
      <c r="K783">
        <v>2</v>
      </c>
      <c r="L783" t="s">
        <v>27</v>
      </c>
      <c r="M783">
        <v>3</v>
      </c>
      <c r="N783">
        <v>2</v>
      </c>
      <c r="O783">
        <v>1</v>
      </c>
      <c r="P783">
        <v>4</v>
      </c>
      <c r="Q783" t="s">
        <v>27</v>
      </c>
    </row>
    <row r="784" spans="1:17" x14ac:dyDescent="0.3">
      <c r="A784" t="s">
        <v>829</v>
      </c>
      <c r="B784">
        <v>38</v>
      </c>
      <c r="C784" t="s">
        <v>35</v>
      </c>
      <c r="D784" t="s">
        <v>44</v>
      </c>
      <c r="E784" t="s">
        <v>45</v>
      </c>
      <c r="F784">
        <v>8916</v>
      </c>
      <c r="G784">
        <v>10</v>
      </c>
      <c r="H784" t="s">
        <v>21</v>
      </c>
      <c r="I784" t="s">
        <v>31</v>
      </c>
      <c r="J784">
        <v>3</v>
      </c>
      <c r="K784">
        <v>2</v>
      </c>
      <c r="L784" t="s">
        <v>27</v>
      </c>
      <c r="M784">
        <v>3</v>
      </c>
      <c r="N784">
        <v>19</v>
      </c>
      <c r="O784">
        <v>2</v>
      </c>
      <c r="P784">
        <v>1</v>
      </c>
      <c r="Q784" t="s">
        <v>27</v>
      </c>
    </row>
    <row r="785" spans="1:17" x14ac:dyDescent="0.3">
      <c r="A785" t="s">
        <v>830</v>
      </c>
      <c r="B785">
        <v>33</v>
      </c>
      <c r="C785" t="s">
        <v>18</v>
      </c>
      <c r="D785" t="s">
        <v>25</v>
      </c>
      <c r="E785" t="s">
        <v>20</v>
      </c>
      <c r="F785">
        <v>12363</v>
      </c>
      <c r="G785">
        <v>0</v>
      </c>
      <c r="H785" t="s">
        <v>46</v>
      </c>
      <c r="I785" t="s">
        <v>31</v>
      </c>
      <c r="J785">
        <v>2</v>
      </c>
      <c r="K785">
        <v>4</v>
      </c>
      <c r="L785" t="s">
        <v>27</v>
      </c>
      <c r="M785">
        <v>1</v>
      </c>
      <c r="N785">
        <v>7</v>
      </c>
      <c r="O785">
        <v>1</v>
      </c>
      <c r="P785">
        <v>1</v>
      </c>
      <c r="Q785" t="s">
        <v>27</v>
      </c>
    </row>
    <row r="786" spans="1:17" x14ac:dyDescent="0.3">
      <c r="A786" t="s">
        <v>831</v>
      </c>
      <c r="B786">
        <v>20</v>
      </c>
      <c r="C786" t="s">
        <v>18</v>
      </c>
      <c r="D786" t="s">
        <v>70</v>
      </c>
      <c r="E786" t="s">
        <v>144</v>
      </c>
      <c r="F786">
        <v>5966</v>
      </c>
      <c r="G786">
        <v>2</v>
      </c>
      <c r="H786" t="s">
        <v>21</v>
      </c>
      <c r="I786" t="s">
        <v>31</v>
      </c>
      <c r="J786">
        <v>4</v>
      </c>
      <c r="K786">
        <v>4</v>
      </c>
      <c r="L786" t="s">
        <v>27</v>
      </c>
      <c r="M786">
        <v>4</v>
      </c>
      <c r="N786">
        <v>9</v>
      </c>
      <c r="O786">
        <v>3</v>
      </c>
      <c r="P786">
        <v>3</v>
      </c>
      <c r="Q786" t="s">
        <v>27</v>
      </c>
    </row>
    <row r="787" spans="1:17" x14ac:dyDescent="0.3">
      <c r="A787" t="s">
        <v>832</v>
      </c>
      <c r="B787">
        <v>37</v>
      </c>
      <c r="C787" t="s">
        <v>18</v>
      </c>
      <c r="D787" t="s">
        <v>44</v>
      </c>
      <c r="E787" t="s">
        <v>45</v>
      </c>
      <c r="F787">
        <v>10427</v>
      </c>
      <c r="G787">
        <v>8</v>
      </c>
      <c r="H787" t="s">
        <v>37</v>
      </c>
      <c r="I787" t="s">
        <v>31</v>
      </c>
      <c r="J787">
        <v>3</v>
      </c>
      <c r="K787">
        <v>1</v>
      </c>
      <c r="L787" t="s">
        <v>27</v>
      </c>
      <c r="M787">
        <v>3</v>
      </c>
      <c r="N787">
        <v>20</v>
      </c>
      <c r="O787">
        <v>3</v>
      </c>
      <c r="P787">
        <v>4</v>
      </c>
      <c r="Q787" t="s">
        <v>27</v>
      </c>
    </row>
    <row r="788" spans="1:17" x14ac:dyDescent="0.3">
      <c r="A788" t="s">
        <v>833</v>
      </c>
      <c r="B788">
        <v>32</v>
      </c>
      <c r="C788" t="s">
        <v>35</v>
      </c>
      <c r="D788" t="s">
        <v>29</v>
      </c>
      <c r="E788" t="s">
        <v>49</v>
      </c>
      <c r="F788">
        <v>10111</v>
      </c>
      <c r="G788">
        <v>4</v>
      </c>
      <c r="H788" t="s">
        <v>37</v>
      </c>
      <c r="I788" t="s">
        <v>22</v>
      </c>
      <c r="J788">
        <v>1</v>
      </c>
      <c r="K788">
        <v>3</v>
      </c>
      <c r="L788" t="s">
        <v>23</v>
      </c>
      <c r="M788">
        <v>3</v>
      </c>
      <c r="N788">
        <v>9</v>
      </c>
      <c r="O788">
        <v>5</v>
      </c>
      <c r="P788">
        <v>3</v>
      </c>
      <c r="Q788" t="s">
        <v>27</v>
      </c>
    </row>
    <row r="789" spans="1:17" x14ac:dyDescent="0.3">
      <c r="A789" t="s">
        <v>834</v>
      </c>
      <c r="B789">
        <v>37</v>
      </c>
      <c r="C789" t="s">
        <v>35</v>
      </c>
      <c r="D789" t="s">
        <v>25</v>
      </c>
      <c r="E789" t="s">
        <v>26</v>
      </c>
      <c r="F789">
        <v>8884</v>
      </c>
      <c r="G789">
        <v>4</v>
      </c>
      <c r="H789" t="s">
        <v>37</v>
      </c>
      <c r="I789" t="s">
        <v>22</v>
      </c>
      <c r="J789">
        <v>3</v>
      </c>
      <c r="K789">
        <v>4</v>
      </c>
      <c r="L789" t="s">
        <v>27</v>
      </c>
      <c r="M789">
        <v>3</v>
      </c>
      <c r="N789">
        <v>27</v>
      </c>
      <c r="O789">
        <v>4</v>
      </c>
      <c r="P789">
        <v>3</v>
      </c>
      <c r="Q789" t="s">
        <v>27</v>
      </c>
    </row>
    <row r="790" spans="1:17" x14ac:dyDescent="0.3">
      <c r="A790" t="s">
        <v>835</v>
      </c>
      <c r="B790">
        <v>28</v>
      </c>
      <c r="C790" t="s">
        <v>18</v>
      </c>
      <c r="D790" t="s">
        <v>19</v>
      </c>
      <c r="E790" t="s">
        <v>40</v>
      </c>
      <c r="F790">
        <v>10533</v>
      </c>
      <c r="G790">
        <v>6</v>
      </c>
      <c r="H790" t="s">
        <v>37</v>
      </c>
      <c r="I790" t="s">
        <v>31</v>
      </c>
      <c r="J790">
        <v>2</v>
      </c>
      <c r="K790">
        <v>2</v>
      </c>
      <c r="L790" t="s">
        <v>27</v>
      </c>
      <c r="M790">
        <v>2</v>
      </c>
      <c r="N790">
        <v>7</v>
      </c>
      <c r="O790">
        <v>4</v>
      </c>
      <c r="P790">
        <v>1</v>
      </c>
      <c r="Q790" t="s">
        <v>23</v>
      </c>
    </row>
    <row r="791" spans="1:17" x14ac:dyDescent="0.3">
      <c r="A791" t="s">
        <v>836</v>
      </c>
      <c r="B791">
        <v>24</v>
      </c>
      <c r="C791" t="s">
        <v>18</v>
      </c>
      <c r="D791" t="s">
        <v>19</v>
      </c>
      <c r="E791" t="s">
        <v>40</v>
      </c>
      <c r="F791">
        <v>8823</v>
      </c>
      <c r="G791">
        <v>6</v>
      </c>
      <c r="H791" t="s">
        <v>37</v>
      </c>
      <c r="I791" t="s">
        <v>22</v>
      </c>
      <c r="J791">
        <v>4</v>
      </c>
      <c r="K791">
        <v>2</v>
      </c>
      <c r="L791" t="s">
        <v>27</v>
      </c>
      <c r="M791">
        <v>3</v>
      </c>
      <c r="N791">
        <v>2</v>
      </c>
      <c r="O791">
        <v>2</v>
      </c>
      <c r="P791">
        <v>1</v>
      </c>
      <c r="Q791" t="s">
        <v>23</v>
      </c>
    </row>
    <row r="792" spans="1:17" x14ac:dyDescent="0.3">
      <c r="A792" t="s">
        <v>837</v>
      </c>
      <c r="B792">
        <v>26</v>
      </c>
      <c r="C792" t="s">
        <v>18</v>
      </c>
      <c r="D792" t="s">
        <v>44</v>
      </c>
      <c r="E792" t="s">
        <v>54</v>
      </c>
      <c r="F792">
        <v>5375</v>
      </c>
      <c r="G792">
        <v>0</v>
      </c>
      <c r="H792" t="s">
        <v>37</v>
      </c>
      <c r="I792" t="s">
        <v>22</v>
      </c>
      <c r="J792">
        <v>4</v>
      </c>
      <c r="K792">
        <v>2</v>
      </c>
      <c r="L792" t="s">
        <v>27</v>
      </c>
      <c r="M792">
        <v>2</v>
      </c>
      <c r="N792">
        <v>29</v>
      </c>
      <c r="O792">
        <v>3</v>
      </c>
      <c r="P792">
        <v>2</v>
      </c>
      <c r="Q792" t="s">
        <v>27</v>
      </c>
    </row>
    <row r="793" spans="1:17" x14ac:dyDescent="0.3">
      <c r="A793" t="s">
        <v>838</v>
      </c>
      <c r="B793">
        <v>22</v>
      </c>
      <c r="C793" t="s">
        <v>18</v>
      </c>
      <c r="D793" t="s">
        <v>19</v>
      </c>
      <c r="E793" t="s">
        <v>40</v>
      </c>
      <c r="F793">
        <v>10781</v>
      </c>
      <c r="G793">
        <v>4</v>
      </c>
      <c r="H793" t="s">
        <v>37</v>
      </c>
      <c r="I793" t="s">
        <v>22</v>
      </c>
      <c r="J793">
        <v>4</v>
      </c>
      <c r="K793">
        <v>3</v>
      </c>
      <c r="L793" t="s">
        <v>27</v>
      </c>
      <c r="M793">
        <v>3</v>
      </c>
      <c r="N793">
        <v>19</v>
      </c>
      <c r="O793">
        <v>4</v>
      </c>
      <c r="P793">
        <v>4</v>
      </c>
      <c r="Q793" t="s">
        <v>27</v>
      </c>
    </row>
    <row r="794" spans="1:17" x14ac:dyDescent="0.3">
      <c r="A794" t="s">
        <v>839</v>
      </c>
      <c r="B794">
        <v>35</v>
      </c>
      <c r="C794" t="s">
        <v>18</v>
      </c>
      <c r="D794" t="s">
        <v>25</v>
      </c>
      <c r="E794" t="s">
        <v>61</v>
      </c>
      <c r="F794">
        <v>5057</v>
      </c>
      <c r="G794">
        <v>3</v>
      </c>
      <c r="H794" t="s">
        <v>21</v>
      </c>
      <c r="I794" t="s">
        <v>31</v>
      </c>
      <c r="J794">
        <v>3</v>
      </c>
      <c r="K794">
        <v>2</v>
      </c>
      <c r="L794" t="s">
        <v>27</v>
      </c>
      <c r="M794">
        <v>4</v>
      </c>
      <c r="N794">
        <v>9</v>
      </c>
      <c r="O794">
        <v>4</v>
      </c>
      <c r="P794">
        <v>1</v>
      </c>
      <c r="Q794" t="s">
        <v>27</v>
      </c>
    </row>
    <row r="795" spans="1:17" x14ac:dyDescent="0.3">
      <c r="A795" t="s">
        <v>840</v>
      </c>
      <c r="B795">
        <v>25</v>
      </c>
      <c r="C795" t="s">
        <v>35</v>
      </c>
      <c r="D795" t="s">
        <v>70</v>
      </c>
      <c r="E795" t="s">
        <v>71</v>
      </c>
      <c r="F795">
        <v>10102</v>
      </c>
      <c r="G795">
        <v>6</v>
      </c>
      <c r="H795" t="s">
        <v>21</v>
      </c>
      <c r="I795" t="s">
        <v>31</v>
      </c>
      <c r="J795">
        <v>1</v>
      </c>
      <c r="K795">
        <v>1</v>
      </c>
      <c r="L795" t="s">
        <v>27</v>
      </c>
      <c r="M795">
        <v>1</v>
      </c>
      <c r="N795">
        <v>21</v>
      </c>
      <c r="O795">
        <v>0</v>
      </c>
      <c r="P795">
        <v>4</v>
      </c>
      <c r="Q795" t="s">
        <v>27</v>
      </c>
    </row>
    <row r="796" spans="1:17" x14ac:dyDescent="0.3">
      <c r="A796" t="s">
        <v>841</v>
      </c>
      <c r="B796">
        <v>54</v>
      </c>
      <c r="C796" t="s">
        <v>18</v>
      </c>
      <c r="D796" t="s">
        <v>70</v>
      </c>
      <c r="E796" t="s">
        <v>71</v>
      </c>
      <c r="F796">
        <v>7037</v>
      </c>
      <c r="G796">
        <v>3</v>
      </c>
      <c r="H796" t="s">
        <v>37</v>
      </c>
      <c r="I796" t="s">
        <v>31</v>
      </c>
      <c r="J796">
        <v>2</v>
      </c>
      <c r="K796">
        <v>1</v>
      </c>
      <c r="L796" t="s">
        <v>27</v>
      </c>
      <c r="M796">
        <v>2</v>
      </c>
      <c r="N796">
        <v>30</v>
      </c>
      <c r="O796">
        <v>5</v>
      </c>
      <c r="P796">
        <v>3</v>
      </c>
      <c r="Q796" t="s">
        <v>27</v>
      </c>
    </row>
    <row r="797" spans="1:17" x14ac:dyDescent="0.3">
      <c r="A797" t="s">
        <v>842</v>
      </c>
      <c r="B797">
        <v>18</v>
      </c>
      <c r="C797" t="s">
        <v>35</v>
      </c>
      <c r="D797" t="s">
        <v>29</v>
      </c>
      <c r="E797" t="s">
        <v>49</v>
      </c>
      <c r="F797">
        <v>6141</v>
      </c>
      <c r="G797">
        <v>0</v>
      </c>
      <c r="H797" t="s">
        <v>37</v>
      </c>
      <c r="I797" t="s">
        <v>22</v>
      </c>
      <c r="J797">
        <v>2</v>
      </c>
      <c r="K797">
        <v>2</v>
      </c>
      <c r="L797" t="s">
        <v>27</v>
      </c>
      <c r="M797">
        <v>2</v>
      </c>
      <c r="N797">
        <v>27</v>
      </c>
      <c r="O797">
        <v>4</v>
      </c>
      <c r="P797">
        <v>2</v>
      </c>
      <c r="Q797" t="s">
        <v>27</v>
      </c>
    </row>
    <row r="798" spans="1:17" x14ac:dyDescent="0.3">
      <c r="A798" t="s">
        <v>843</v>
      </c>
      <c r="B798">
        <v>38</v>
      </c>
      <c r="C798" t="s">
        <v>18</v>
      </c>
      <c r="D798" t="s">
        <v>74</v>
      </c>
      <c r="E798" t="s">
        <v>99</v>
      </c>
      <c r="F798">
        <v>5069</v>
      </c>
      <c r="G798">
        <v>1</v>
      </c>
      <c r="H798" t="s">
        <v>37</v>
      </c>
      <c r="I798" t="s">
        <v>31</v>
      </c>
      <c r="J798">
        <v>4</v>
      </c>
      <c r="K798">
        <v>2</v>
      </c>
      <c r="L798" t="s">
        <v>27</v>
      </c>
      <c r="M798">
        <v>3</v>
      </c>
      <c r="N798">
        <v>21</v>
      </c>
      <c r="O798">
        <v>5</v>
      </c>
      <c r="P798">
        <v>4</v>
      </c>
      <c r="Q798" t="s">
        <v>23</v>
      </c>
    </row>
    <row r="799" spans="1:17" x14ac:dyDescent="0.3">
      <c r="A799" t="s">
        <v>844</v>
      </c>
      <c r="B799">
        <v>36</v>
      </c>
      <c r="C799" t="s">
        <v>35</v>
      </c>
      <c r="D799" t="s">
        <v>25</v>
      </c>
      <c r="E799" t="s">
        <v>26</v>
      </c>
      <c r="F799">
        <v>6296</v>
      </c>
      <c r="G799">
        <v>7</v>
      </c>
      <c r="H799" t="s">
        <v>37</v>
      </c>
      <c r="I799" t="s">
        <v>31</v>
      </c>
      <c r="J799">
        <v>3</v>
      </c>
      <c r="K799">
        <v>2</v>
      </c>
      <c r="L799" t="s">
        <v>27</v>
      </c>
      <c r="M799">
        <v>3</v>
      </c>
      <c r="N799">
        <v>5</v>
      </c>
      <c r="O799">
        <v>5</v>
      </c>
      <c r="P799">
        <v>3</v>
      </c>
      <c r="Q799" t="s">
        <v>27</v>
      </c>
    </row>
    <row r="800" spans="1:17" x14ac:dyDescent="0.3">
      <c r="A800" t="s">
        <v>845</v>
      </c>
      <c r="B800">
        <v>31</v>
      </c>
      <c r="C800" t="s">
        <v>35</v>
      </c>
      <c r="D800" t="s">
        <v>74</v>
      </c>
      <c r="E800" t="s">
        <v>99</v>
      </c>
      <c r="F800">
        <v>4642</v>
      </c>
      <c r="G800">
        <v>0</v>
      </c>
      <c r="H800" t="s">
        <v>33</v>
      </c>
      <c r="I800" t="s">
        <v>22</v>
      </c>
      <c r="J800">
        <v>1</v>
      </c>
      <c r="K800">
        <v>4</v>
      </c>
      <c r="L800" t="s">
        <v>27</v>
      </c>
      <c r="M800">
        <v>3</v>
      </c>
      <c r="N800">
        <v>9</v>
      </c>
      <c r="O800">
        <v>2</v>
      </c>
      <c r="P800">
        <v>1</v>
      </c>
      <c r="Q800" t="s">
        <v>27</v>
      </c>
    </row>
    <row r="801" spans="1:17" x14ac:dyDescent="0.3">
      <c r="A801" t="s">
        <v>846</v>
      </c>
      <c r="B801">
        <v>45</v>
      </c>
      <c r="C801" t="s">
        <v>18</v>
      </c>
      <c r="D801" t="s">
        <v>25</v>
      </c>
      <c r="E801" t="s">
        <v>20</v>
      </c>
      <c r="F801">
        <v>11417</v>
      </c>
      <c r="G801">
        <v>0</v>
      </c>
      <c r="H801" t="s">
        <v>37</v>
      </c>
      <c r="I801" t="s">
        <v>31</v>
      </c>
      <c r="J801">
        <v>3</v>
      </c>
      <c r="K801">
        <v>2</v>
      </c>
      <c r="L801" t="s">
        <v>27</v>
      </c>
      <c r="M801">
        <v>3</v>
      </c>
      <c r="N801">
        <v>8</v>
      </c>
      <c r="O801">
        <v>1</v>
      </c>
      <c r="P801">
        <v>4</v>
      </c>
      <c r="Q801" t="s">
        <v>27</v>
      </c>
    </row>
    <row r="802" spans="1:17" x14ac:dyDescent="0.3">
      <c r="A802" t="s">
        <v>847</v>
      </c>
      <c r="B802">
        <v>43</v>
      </c>
      <c r="C802" t="s">
        <v>35</v>
      </c>
      <c r="D802" t="s">
        <v>25</v>
      </c>
      <c r="E802" t="s">
        <v>26</v>
      </c>
      <c r="F802">
        <v>17187</v>
      </c>
      <c r="G802">
        <v>19</v>
      </c>
      <c r="H802" t="s">
        <v>21</v>
      </c>
      <c r="I802" t="s">
        <v>22</v>
      </c>
      <c r="J802">
        <v>3</v>
      </c>
      <c r="K802">
        <v>2</v>
      </c>
      <c r="L802" t="s">
        <v>27</v>
      </c>
      <c r="M802">
        <v>3</v>
      </c>
      <c r="N802">
        <v>11</v>
      </c>
      <c r="O802">
        <v>4</v>
      </c>
      <c r="P802">
        <v>4</v>
      </c>
      <c r="Q802" t="s">
        <v>27</v>
      </c>
    </row>
    <row r="803" spans="1:17" x14ac:dyDescent="0.3">
      <c r="A803" t="s">
        <v>848</v>
      </c>
      <c r="B803">
        <v>32</v>
      </c>
      <c r="C803" t="s">
        <v>18</v>
      </c>
      <c r="D803" t="s">
        <v>74</v>
      </c>
      <c r="E803" t="s">
        <v>99</v>
      </c>
      <c r="F803">
        <v>7230</v>
      </c>
      <c r="G803">
        <v>0</v>
      </c>
      <c r="H803" t="s">
        <v>37</v>
      </c>
      <c r="I803" t="s">
        <v>22</v>
      </c>
      <c r="J803">
        <v>1</v>
      </c>
      <c r="K803">
        <v>2</v>
      </c>
      <c r="L803" t="s">
        <v>23</v>
      </c>
      <c r="M803">
        <v>4</v>
      </c>
      <c r="N803">
        <v>19</v>
      </c>
      <c r="O803">
        <v>1</v>
      </c>
      <c r="P803">
        <v>1</v>
      </c>
      <c r="Q803" t="s">
        <v>27</v>
      </c>
    </row>
    <row r="804" spans="1:17" x14ac:dyDescent="0.3">
      <c r="A804" t="s">
        <v>849</v>
      </c>
      <c r="B804">
        <v>37</v>
      </c>
      <c r="C804" t="s">
        <v>35</v>
      </c>
      <c r="D804" t="s">
        <v>70</v>
      </c>
      <c r="E804" t="s">
        <v>144</v>
      </c>
      <c r="F804">
        <v>6493</v>
      </c>
      <c r="G804">
        <v>1</v>
      </c>
      <c r="H804" t="s">
        <v>37</v>
      </c>
      <c r="I804" t="s">
        <v>31</v>
      </c>
      <c r="J804">
        <v>3</v>
      </c>
      <c r="K804">
        <v>1</v>
      </c>
      <c r="L804" t="s">
        <v>27</v>
      </c>
      <c r="M804">
        <v>2</v>
      </c>
      <c r="N804">
        <v>4</v>
      </c>
      <c r="O804">
        <v>4</v>
      </c>
      <c r="P804">
        <v>3</v>
      </c>
      <c r="Q804" t="s">
        <v>27</v>
      </c>
    </row>
    <row r="805" spans="1:17" x14ac:dyDescent="0.3">
      <c r="A805" t="s">
        <v>850</v>
      </c>
      <c r="B805">
        <v>33</v>
      </c>
      <c r="C805" t="s">
        <v>18</v>
      </c>
      <c r="D805" t="s">
        <v>29</v>
      </c>
      <c r="E805" t="s">
        <v>30</v>
      </c>
      <c r="F805">
        <v>9743</v>
      </c>
      <c r="G805">
        <v>8</v>
      </c>
      <c r="H805" t="s">
        <v>37</v>
      </c>
      <c r="I805" t="s">
        <v>22</v>
      </c>
      <c r="J805">
        <v>2</v>
      </c>
      <c r="K805">
        <v>2</v>
      </c>
      <c r="L805" t="s">
        <v>27</v>
      </c>
      <c r="M805">
        <v>2</v>
      </c>
      <c r="N805">
        <v>30</v>
      </c>
      <c r="O805">
        <v>2</v>
      </c>
      <c r="P805">
        <v>2</v>
      </c>
      <c r="Q805" t="s">
        <v>27</v>
      </c>
    </row>
    <row r="806" spans="1:17" x14ac:dyDescent="0.3">
      <c r="A806" t="s">
        <v>851</v>
      </c>
      <c r="B806">
        <v>35</v>
      </c>
      <c r="C806" t="s">
        <v>35</v>
      </c>
      <c r="D806" t="s">
        <v>25</v>
      </c>
      <c r="E806" t="s">
        <v>26</v>
      </c>
      <c r="F806">
        <v>4751</v>
      </c>
      <c r="G806">
        <v>4</v>
      </c>
      <c r="H806" t="s">
        <v>21</v>
      </c>
      <c r="I806" t="s">
        <v>22</v>
      </c>
      <c r="J806">
        <v>3</v>
      </c>
      <c r="K806">
        <v>4</v>
      </c>
      <c r="L806" t="s">
        <v>27</v>
      </c>
      <c r="M806">
        <v>3</v>
      </c>
      <c r="N806">
        <v>5</v>
      </c>
      <c r="O806">
        <v>0</v>
      </c>
      <c r="P806">
        <v>4</v>
      </c>
      <c r="Q806" t="s">
        <v>27</v>
      </c>
    </row>
    <row r="807" spans="1:17" x14ac:dyDescent="0.3">
      <c r="A807" t="s">
        <v>852</v>
      </c>
      <c r="B807">
        <v>35</v>
      </c>
      <c r="C807" t="s">
        <v>18</v>
      </c>
      <c r="D807" t="s">
        <v>25</v>
      </c>
      <c r="E807" t="s">
        <v>61</v>
      </c>
      <c r="F807">
        <v>10249</v>
      </c>
      <c r="G807">
        <v>9</v>
      </c>
      <c r="H807" t="s">
        <v>37</v>
      </c>
      <c r="I807" t="s">
        <v>22</v>
      </c>
      <c r="J807">
        <v>4</v>
      </c>
      <c r="K807">
        <v>4</v>
      </c>
      <c r="L807" t="s">
        <v>23</v>
      </c>
      <c r="M807">
        <v>3</v>
      </c>
      <c r="N807">
        <v>18</v>
      </c>
      <c r="O807">
        <v>3</v>
      </c>
      <c r="P807">
        <v>2</v>
      </c>
      <c r="Q807" t="s">
        <v>27</v>
      </c>
    </row>
    <row r="808" spans="1:17" x14ac:dyDescent="0.3">
      <c r="A808" t="s">
        <v>853</v>
      </c>
      <c r="B808">
        <v>38</v>
      </c>
      <c r="C808" t="s">
        <v>18</v>
      </c>
      <c r="D808" t="s">
        <v>25</v>
      </c>
      <c r="E808" t="s">
        <v>61</v>
      </c>
      <c r="F808">
        <v>6561</v>
      </c>
      <c r="G808">
        <v>2</v>
      </c>
      <c r="H808" t="s">
        <v>37</v>
      </c>
      <c r="I808" t="s">
        <v>22</v>
      </c>
      <c r="J808">
        <v>2</v>
      </c>
      <c r="K808">
        <v>3</v>
      </c>
      <c r="L808" t="s">
        <v>27</v>
      </c>
      <c r="M808">
        <v>4</v>
      </c>
      <c r="N808">
        <v>23</v>
      </c>
      <c r="O808">
        <v>2</v>
      </c>
      <c r="P808">
        <v>4</v>
      </c>
      <c r="Q808" t="s">
        <v>27</v>
      </c>
    </row>
    <row r="809" spans="1:17" x14ac:dyDescent="0.3">
      <c r="A809" t="s">
        <v>854</v>
      </c>
      <c r="B809">
        <v>46</v>
      </c>
      <c r="C809" t="s">
        <v>35</v>
      </c>
      <c r="D809" t="s">
        <v>44</v>
      </c>
      <c r="E809" t="s">
        <v>45</v>
      </c>
      <c r="F809">
        <v>9013</v>
      </c>
      <c r="G809">
        <v>1</v>
      </c>
      <c r="H809" t="s">
        <v>33</v>
      </c>
      <c r="I809" t="s">
        <v>22</v>
      </c>
      <c r="J809">
        <v>2</v>
      </c>
      <c r="K809">
        <v>3</v>
      </c>
      <c r="L809" t="s">
        <v>27</v>
      </c>
      <c r="M809">
        <v>3</v>
      </c>
      <c r="N809">
        <v>18</v>
      </c>
      <c r="O809">
        <v>2</v>
      </c>
      <c r="P809">
        <v>3</v>
      </c>
      <c r="Q809" t="s">
        <v>27</v>
      </c>
    </row>
    <row r="810" spans="1:17" x14ac:dyDescent="0.3">
      <c r="A810" t="s">
        <v>855</v>
      </c>
      <c r="B810">
        <v>31</v>
      </c>
      <c r="C810" t="s">
        <v>35</v>
      </c>
      <c r="D810" t="s">
        <v>74</v>
      </c>
      <c r="E810" t="s">
        <v>75</v>
      </c>
      <c r="F810">
        <v>11094</v>
      </c>
      <c r="G810">
        <v>6</v>
      </c>
      <c r="H810" t="s">
        <v>21</v>
      </c>
      <c r="I810" t="s">
        <v>22</v>
      </c>
      <c r="J810">
        <v>2</v>
      </c>
      <c r="K810">
        <v>2</v>
      </c>
      <c r="L810" t="s">
        <v>27</v>
      </c>
      <c r="M810">
        <v>3</v>
      </c>
      <c r="N810">
        <v>19</v>
      </c>
      <c r="O810">
        <v>4</v>
      </c>
      <c r="P810">
        <v>4</v>
      </c>
      <c r="Q810" t="s">
        <v>27</v>
      </c>
    </row>
    <row r="811" spans="1:17" x14ac:dyDescent="0.3">
      <c r="A811" t="s">
        <v>856</v>
      </c>
      <c r="B811">
        <v>25</v>
      </c>
      <c r="C811" t="s">
        <v>18</v>
      </c>
      <c r="D811" t="s">
        <v>25</v>
      </c>
      <c r="E811" t="s">
        <v>61</v>
      </c>
      <c r="F811">
        <v>8410</v>
      </c>
      <c r="G811">
        <v>2</v>
      </c>
      <c r="H811" t="s">
        <v>37</v>
      </c>
      <c r="I811" t="s">
        <v>31</v>
      </c>
      <c r="J811">
        <v>2</v>
      </c>
      <c r="K811">
        <v>3</v>
      </c>
      <c r="L811" t="s">
        <v>23</v>
      </c>
      <c r="M811">
        <v>3</v>
      </c>
      <c r="N811">
        <v>26</v>
      </c>
      <c r="O811">
        <v>1</v>
      </c>
      <c r="P811">
        <v>2</v>
      </c>
      <c r="Q811" t="s">
        <v>27</v>
      </c>
    </row>
    <row r="812" spans="1:17" x14ac:dyDescent="0.3">
      <c r="A812" t="s">
        <v>857</v>
      </c>
      <c r="B812">
        <v>31</v>
      </c>
      <c r="C812" t="s">
        <v>35</v>
      </c>
      <c r="D812" t="s">
        <v>74</v>
      </c>
      <c r="E812" t="s">
        <v>99</v>
      </c>
      <c r="F812">
        <v>8497</v>
      </c>
      <c r="G812">
        <v>1</v>
      </c>
      <c r="H812" t="s">
        <v>21</v>
      </c>
      <c r="I812" t="s">
        <v>31</v>
      </c>
      <c r="J812">
        <v>4</v>
      </c>
      <c r="K812">
        <v>4</v>
      </c>
      <c r="L812" t="s">
        <v>23</v>
      </c>
      <c r="M812">
        <v>1</v>
      </c>
      <c r="N812">
        <v>25</v>
      </c>
      <c r="O812">
        <v>0</v>
      </c>
      <c r="P812">
        <v>1</v>
      </c>
      <c r="Q812" t="s">
        <v>27</v>
      </c>
    </row>
    <row r="813" spans="1:17" x14ac:dyDescent="0.3">
      <c r="A813" t="s">
        <v>858</v>
      </c>
      <c r="B813">
        <v>38</v>
      </c>
      <c r="C813" t="s">
        <v>35</v>
      </c>
      <c r="D813" t="s">
        <v>29</v>
      </c>
      <c r="E813" t="s">
        <v>20</v>
      </c>
      <c r="F813">
        <v>12881</v>
      </c>
      <c r="G813">
        <v>5</v>
      </c>
      <c r="H813" t="s">
        <v>46</v>
      </c>
      <c r="I813" t="s">
        <v>56</v>
      </c>
      <c r="J813">
        <v>3</v>
      </c>
      <c r="K813">
        <v>3</v>
      </c>
      <c r="L813" t="s">
        <v>27</v>
      </c>
      <c r="M813">
        <v>3</v>
      </c>
      <c r="N813">
        <v>28</v>
      </c>
      <c r="O813">
        <v>0</v>
      </c>
      <c r="P813">
        <v>2</v>
      </c>
      <c r="Q813" t="s">
        <v>27</v>
      </c>
    </row>
    <row r="814" spans="1:17" x14ac:dyDescent="0.3">
      <c r="A814" t="s">
        <v>859</v>
      </c>
      <c r="B814">
        <v>25</v>
      </c>
      <c r="C814" t="s">
        <v>35</v>
      </c>
      <c r="D814" t="s">
        <v>70</v>
      </c>
      <c r="E814" t="s">
        <v>20</v>
      </c>
      <c r="F814">
        <v>14834</v>
      </c>
      <c r="G814">
        <v>3</v>
      </c>
      <c r="H814" t="s">
        <v>33</v>
      </c>
      <c r="I814" t="s">
        <v>31</v>
      </c>
      <c r="J814">
        <v>1</v>
      </c>
      <c r="K814">
        <v>2</v>
      </c>
      <c r="L814" t="s">
        <v>27</v>
      </c>
      <c r="M814">
        <v>3</v>
      </c>
      <c r="N814">
        <v>10</v>
      </c>
      <c r="O814">
        <v>4</v>
      </c>
      <c r="P814">
        <v>3</v>
      </c>
      <c r="Q814" t="s">
        <v>27</v>
      </c>
    </row>
    <row r="815" spans="1:17" x14ac:dyDescent="0.3">
      <c r="A815" t="s">
        <v>860</v>
      </c>
      <c r="B815">
        <v>18</v>
      </c>
      <c r="C815" t="s">
        <v>35</v>
      </c>
      <c r="D815" t="s">
        <v>44</v>
      </c>
      <c r="E815" t="s">
        <v>54</v>
      </c>
      <c r="F815">
        <v>4441</v>
      </c>
      <c r="G815">
        <v>0</v>
      </c>
      <c r="H815" t="s">
        <v>37</v>
      </c>
      <c r="I815" t="s">
        <v>31</v>
      </c>
      <c r="J815">
        <v>1</v>
      </c>
      <c r="K815">
        <v>3</v>
      </c>
      <c r="L815" t="s">
        <v>27</v>
      </c>
      <c r="M815">
        <v>3</v>
      </c>
      <c r="N815">
        <v>19</v>
      </c>
      <c r="O815">
        <v>3</v>
      </c>
      <c r="P815">
        <v>3</v>
      </c>
      <c r="Q815" t="s">
        <v>27</v>
      </c>
    </row>
    <row r="816" spans="1:17" x14ac:dyDescent="0.3">
      <c r="A816" t="s">
        <v>861</v>
      </c>
      <c r="B816">
        <v>22</v>
      </c>
      <c r="C816" t="s">
        <v>35</v>
      </c>
      <c r="D816" t="s">
        <v>74</v>
      </c>
      <c r="E816" t="s">
        <v>20</v>
      </c>
      <c r="F816">
        <v>13948</v>
      </c>
      <c r="G816">
        <v>4</v>
      </c>
      <c r="H816" t="s">
        <v>46</v>
      </c>
      <c r="I816" t="s">
        <v>31</v>
      </c>
      <c r="J816">
        <v>3</v>
      </c>
      <c r="K816">
        <v>2</v>
      </c>
      <c r="L816" t="s">
        <v>27</v>
      </c>
      <c r="M816">
        <v>3</v>
      </c>
      <c r="N816">
        <v>29</v>
      </c>
      <c r="O816">
        <v>0</v>
      </c>
      <c r="P816">
        <v>2</v>
      </c>
      <c r="Q816" t="s">
        <v>27</v>
      </c>
    </row>
    <row r="817" spans="1:17" x14ac:dyDescent="0.3">
      <c r="A817" t="s">
        <v>862</v>
      </c>
      <c r="B817">
        <v>42</v>
      </c>
      <c r="C817" t="s">
        <v>35</v>
      </c>
      <c r="D817" t="s">
        <v>19</v>
      </c>
      <c r="E817" t="s">
        <v>40</v>
      </c>
      <c r="F817">
        <v>17419</v>
      </c>
      <c r="G817">
        <v>22</v>
      </c>
      <c r="H817" t="s">
        <v>46</v>
      </c>
      <c r="I817" t="s">
        <v>56</v>
      </c>
      <c r="J817">
        <v>2</v>
      </c>
      <c r="K817">
        <v>2</v>
      </c>
      <c r="L817" t="s">
        <v>27</v>
      </c>
      <c r="M817">
        <v>4</v>
      </c>
      <c r="N817">
        <v>5</v>
      </c>
      <c r="O817">
        <v>1</v>
      </c>
      <c r="P817">
        <v>4</v>
      </c>
      <c r="Q817" t="s">
        <v>27</v>
      </c>
    </row>
    <row r="818" spans="1:17" x14ac:dyDescent="0.3">
      <c r="A818" t="s">
        <v>863</v>
      </c>
      <c r="B818">
        <v>34</v>
      </c>
      <c r="C818" t="s">
        <v>18</v>
      </c>
      <c r="D818" t="s">
        <v>74</v>
      </c>
      <c r="E818" t="s">
        <v>75</v>
      </c>
      <c r="F818">
        <v>4070</v>
      </c>
      <c r="G818">
        <v>3</v>
      </c>
      <c r="H818" t="s">
        <v>37</v>
      </c>
      <c r="I818" t="s">
        <v>22</v>
      </c>
      <c r="J818">
        <v>4</v>
      </c>
      <c r="K818">
        <v>1</v>
      </c>
      <c r="L818" t="s">
        <v>27</v>
      </c>
      <c r="M818">
        <v>3</v>
      </c>
      <c r="N818">
        <v>26</v>
      </c>
      <c r="O818">
        <v>1</v>
      </c>
      <c r="P818">
        <v>2</v>
      </c>
      <c r="Q818" t="s">
        <v>27</v>
      </c>
    </row>
    <row r="819" spans="1:17" x14ac:dyDescent="0.3">
      <c r="A819" t="s">
        <v>864</v>
      </c>
      <c r="B819">
        <v>45</v>
      </c>
      <c r="C819" t="s">
        <v>35</v>
      </c>
      <c r="D819" t="s">
        <v>25</v>
      </c>
      <c r="E819" t="s">
        <v>61</v>
      </c>
      <c r="F819">
        <v>6531</v>
      </c>
      <c r="G819">
        <v>6</v>
      </c>
      <c r="H819" t="s">
        <v>21</v>
      </c>
      <c r="I819" t="s">
        <v>22</v>
      </c>
      <c r="J819">
        <v>4</v>
      </c>
      <c r="K819">
        <v>1</v>
      </c>
      <c r="L819" t="s">
        <v>27</v>
      </c>
      <c r="M819">
        <v>3</v>
      </c>
      <c r="N819">
        <v>28</v>
      </c>
      <c r="O819">
        <v>6</v>
      </c>
      <c r="P819">
        <v>4</v>
      </c>
      <c r="Q819" t="s">
        <v>27</v>
      </c>
    </row>
    <row r="820" spans="1:17" x14ac:dyDescent="0.3">
      <c r="A820" t="s">
        <v>865</v>
      </c>
      <c r="B820">
        <v>43</v>
      </c>
      <c r="C820" t="s">
        <v>18</v>
      </c>
      <c r="D820" t="s">
        <v>19</v>
      </c>
      <c r="E820" t="s">
        <v>40</v>
      </c>
      <c r="F820">
        <v>8196</v>
      </c>
      <c r="G820">
        <v>8</v>
      </c>
      <c r="H820" t="s">
        <v>37</v>
      </c>
      <c r="I820" t="s">
        <v>31</v>
      </c>
      <c r="J820">
        <v>2</v>
      </c>
      <c r="K820">
        <v>3</v>
      </c>
      <c r="L820" t="s">
        <v>27</v>
      </c>
      <c r="M820">
        <v>3</v>
      </c>
      <c r="N820">
        <v>20</v>
      </c>
      <c r="O820">
        <v>5</v>
      </c>
      <c r="P820">
        <v>3</v>
      </c>
      <c r="Q820" t="s">
        <v>27</v>
      </c>
    </row>
    <row r="821" spans="1:17" x14ac:dyDescent="0.3">
      <c r="A821" t="s">
        <v>866</v>
      </c>
      <c r="B821">
        <v>34</v>
      </c>
      <c r="C821" t="s">
        <v>18</v>
      </c>
      <c r="D821" t="s">
        <v>70</v>
      </c>
      <c r="E821" t="s">
        <v>71</v>
      </c>
      <c r="F821">
        <v>9565</v>
      </c>
      <c r="G821">
        <v>3</v>
      </c>
      <c r="H821" t="s">
        <v>33</v>
      </c>
      <c r="I821" t="s">
        <v>56</v>
      </c>
      <c r="J821">
        <v>1</v>
      </c>
      <c r="K821">
        <v>4</v>
      </c>
      <c r="L821" t="s">
        <v>27</v>
      </c>
      <c r="M821">
        <v>3</v>
      </c>
      <c r="N821">
        <v>12</v>
      </c>
      <c r="O821">
        <v>4</v>
      </c>
      <c r="P821">
        <v>4</v>
      </c>
      <c r="Q821" t="s">
        <v>27</v>
      </c>
    </row>
    <row r="822" spans="1:17" x14ac:dyDescent="0.3">
      <c r="A822" t="s">
        <v>867</v>
      </c>
      <c r="B822">
        <v>45</v>
      </c>
      <c r="C822" t="s">
        <v>18</v>
      </c>
      <c r="D822" t="s">
        <v>25</v>
      </c>
      <c r="E822" t="s">
        <v>20</v>
      </c>
      <c r="F822">
        <v>8673</v>
      </c>
      <c r="G822">
        <v>0</v>
      </c>
      <c r="H822" t="s">
        <v>21</v>
      </c>
      <c r="I822" t="s">
        <v>31</v>
      </c>
      <c r="J822">
        <v>3</v>
      </c>
      <c r="K822">
        <v>2</v>
      </c>
      <c r="L822" t="s">
        <v>27</v>
      </c>
      <c r="M822">
        <v>3</v>
      </c>
      <c r="N822">
        <v>12</v>
      </c>
      <c r="O822">
        <v>1</v>
      </c>
      <c r="P822">
        <v>2</v>
      </c>
      <c r="Q822" t="s">
        <v>27</v>
      </c>
    </row>
    <row r="823" spans="1:17" x14ac:dyDescent="0.3">
      <c r="A823" t="s">
        <v>868</v>
      </c>
      <c r="B823">
        <v>26</v>
      </c>
      <c r="C823" t="s">
        <v>18</v>
      </c>
      <c r="D823" t="s">
        <v>44</v>
      </c>
      <c r="E823" t="s">
        <v>20</v>
      </c>
      <c r="F823">
        <v>7630</v>
      </c>
      <c r="G823">
        <v>1</v>
      </c>
      <c r="H823" t="s">
        <v>46</v>
      </c>
      <c r="I823" t="s">
        <v>31</v>
      </c>
      <c r="J823">
        <v>2</v>
      </c>
      <c r="K823">
        <v>4</v>
      </c>
      <c r="L823" t="s">
        <v>27</v>
      </c>
      <c r="M823">
        <v>3</v>
      </c>
      <c r="N823">
        <v>6</v>
      </c>
      <c r="O823">
        <v>6</v>
      </c>
      <c r="P823">
        <v>4</v>
      </c>
      <c r="Q823" t="s">
        <v>27</v>
      </c>
    </row>
    <row r="824" spans="1:17" x14ac:dyDescent="0.3">
      <c r="A824" t="s">
        <v>869</v>
      </c>
      <c r="B824">
        <v>30</v>
      </c>
      <c r="C824" t="s">
        <v>35</v>
      </c>
      <c r="D824" t="s">
        <v>25</v>
      </c>
      <c r="E824" t="s">
        <v>26</v>
      </c>
      <c r="F824">
        <v>9903</v>
      </c>
      <c r="G824">
        <v>6</v>
      </c>
      <c r="H824" t="s">
        <v>33</v>
      </c>
      <c r="I824" t="s">
        <v>22</v>
      </c>
      <c r="J824">
        <v>3</v>
      </c>
      <c r="K824">
        <v>2</v>
      </c>
      <c r="L824" t="s">
        <v>23</v>
      </c>
      <c r="M824">
        <v>3</v>
      </c>
      <c r="N824">
        <v>5</v>
      </c>
      <c r="O824">
        <v>2</v>
      </c>
      <c r="P824">
        <v>3</v>
      </c>
      <c r="Q824" t="s">
        <v>27</v>
      </c>
    </row>
    <row r="825" spans="1:17" x14ac:dyDescent="0.3">
      <c r="A825" t="s">
        <v>870</v>
      </c>
      <c r="B825">
        <v>33</v>
      </c>
      <c r="C825" t="s">
        <v>35</v>
      </c>
      <c r="D825" t="s">
        <v>70</v>
      </c>
      <c r="E825" t="s">
        <v>20</v>
      </c>
      <c r="F825">
        <v>11341</v>
      </c>
      <c r="G825">
        <v>2</v>
      </c>
      <c r="H825" t="s">
        <v>33</v>
      </c>
      <c r="I825" t="s">
        <v>31</v>
      </c>
      <c r="J825">
        <v>2</v>
      </c>
      <c r="K825">
        <v>3</v>
      </c>
      <c r="L825" t="s">
        <v>23</v>
      </c>
      <c r="M825">
        <v>2</v>
      </c>
      <c r="N825">
        <v>15</v>
      </c>
      <c r="O825">
        <v>1</v>
      </c>
      <c r="P825">
        <v>3</v>
      </c>
      <c r="Q825" t="s">
        <v>27</v>
      </c>
    </row>
    <row r="826" spans="1:17" x14ac:dyDescent="0.3">
      <c r="A826" t="s">
        <v>871</v>
      </c>
      <c r="B826">
        <v>36</v>
      </c>
      <c r="C826" t="s">
        <v>18</v>
      </c>
      <c r="D826" t="s">
        <v>44</v>
      </c>
      <c r="E826" t="s">
        <v>54</v>
      </c>
      <c r="F826">
        <v>8868</v>
      </c>
      <c r="G826">
        <v>5</v>
      </c>
      <c r="H826" t="s">
        <v>33</v>
      </c>
      <c r="I826" t="s">
        <v>22</v>
      </c>
      <c r="J826">
        <v>3</v>
      </c>
      <c r="K826">
        <v>2</v>
      </c>
      <c r="L826" t="s">
        <v>27</v>
      </c>
      <c r="M826">
        <v>4</v>
      </c>
      <c r="N826">
        <v>21</v>
      </c>
      <c r="O826">
        <v>6</v>
      </c>
      <c r="P826">
        <v>2</v>
      </c>
      <c r="Q826" t="s">
        <v>27</v>
      </c>
    </row>
    <row r="827" spans="1:17" x14ac:dyDescent="0.3">
      <c r="A827" t="s">
        <v>872</v>
      </c>
      <c r="B827">
        <v>43</v>
      </c>
      <c r="C827" t="s">
        <v>35</v>
      </c>
      <c r="D827" t="s">
        <v>70</v>
      </c>
      <c r="E827" t="s">
        <v>71</v>
      </c>
      <c r="F827">
        <v>9411</v>
      </c>
      <c r="G827">
        <v>0</v>
      </c>
      <c r="H827" t="s">
        <v>37</v>
      </c>
      <c r="I827" t="s">
        <v>56</v>
      </c>
      <c r="J827">
        <v>4</v>
      </c>
      <c r="K827">
        <v>4</v>
      </c>
      <c r="L827" t="s">
        <v>27</v>
      </c>
      <c r="M827">
        <v>2</v>
      </c>
      <c r="N827">
        <v>6</v>
      </c>
      <c r="O827">
        <v>6</v>
      </c>
      <c r="P827">
        <v>4</v>
      </c>
      <c r="Q827" t="s">
        <v>27</v>
      </c>
    </row>
    <row r="828" spans="1:17" x14ac:dyDescent="0.3">
      <c r="A828" t="s">
        <v>873</v>
      </c>
      <c r="B828">
        <v>45</v>
      </c>
      <c r="C828" t="s">
        <v>18</v>
      </c>
      <c r="D828" t="s">
        <v>25</v>
      </c>
      <c r="E828" t="s">
        <v>26</v>
      </c>
      <c r="F828">
        <v>12515</v>
      </c>
      <c r="G828">
        <v>11</v>
      </c>
      <c r="H828" t="s">
        <v>21</v>
      </c>
      <c r="I828" t="s">
        <v>22</v>
      </c>
      <c r="J828">
        <v>3</v>
      </c>
      <c r="K828">
        <v>2</v>
      </c>
      <c r="L828" t="s">
        <v>27</v>
      </c>
      <c r="M828">
        <v>2</v>
      </c>
      <c r="N828">
        <v>28</v>
      </c>
      <c r="O828">
        <v>5</v>
      </c>
      <c r="P828">
        <v>1</v>
      </c>
      <c r="Q828" t="s">
        <v>27</v>
      </c>
    </row>
    <row r="829" spans="1:17" x14ac:dyDescent="0.3">
      <c r="A829" t="s">
        <v>874</v>
      </c>
      <c r="B829">
        <v>48</v>
      </c>
      <c r="C829" t="s">
        <v>35</v>
      </c>
      <c r="D829" t="s">
        <v>74</v>
      </c>
      <c r="E829" t="s">
        <v>75</v>
      </c>
      <c r="F829">
        <v>6042</v>
      </c>
      <c r="G829">
        <v>2</v>
      </c>
      <c r="H829" t="s">
        <v>37</v>
      </c>
      <c r="I829" t="s">
        <v>31</v>
      </c>
      <c r="J829">
        <v>3</v>
      </c>
      <c r="K829">
        <v>3</v>
      </c>
      <c r="L829" t="s">
        <v>23</v>
      </c>
      <c r="M829">
        <v>3</v>
      </c>
      <c r="N829">
        <v>26</v>
      </c>
      <c r="O829">
        <v>6</v>
      </c>
      <c r="P829">
        <v>2</v>
      </c>
      <c r="Q829" t="s">
        <v>27</v>
      </c>
    </row>
    <row r="830" spans="1:17" x14ac:dyDescent="0.3">
      <c r="A830" t="s">
        <v>875</v>
      </c>
      <c r="B830">
        <v>45</v>
      </c>
      <c r="C830" t="s">
        <v>18</v>
      </c>
      <c r="D830" t="s">
        <v>44</v>
      </c>
      <c r="E830" t="s">
        <v>45</v>
      </c>
      <c r="F830">
        <v>7793</v>
      </c>
      <c r="G830">
        <v>4</v>
      </c>
      <c r="H830" t="s">
        <v>37</v>
      </c>
      <c r="I830" t="s">
        <v>22</v>
      </c>
      <c r="J830">
        <v>3</v>
      </c>
      <c r="K830">
        <v>1</v>
      </c>
      <c r="L830" t="s">
        <v>27</v>
      </c>
      <c r="M830">
        <v>2</v>
      </c>
      <c r="N830">
        <v>15</v>
      </c>
      <c r="O830">
        <v>4</v>
      </c>
      <c r="P830">
        <v>3</v>
      </c>
      <c r="Q830" t="s">
        <v>27</v>
      </c>
    </row>
    <row r="831" spans="1:17" x14ac:dyDescent="0.3">
      <c r="A831" t="s">
        <v>876</v>
      </c>
      <c r="B831">
        <v>31</v>
      </c>
      <c r="C831" t="s">
        <v>35</v>
      </c>
      <c r="D831" t="s">
        <v>25</v>
      </c>
      <c r="E831" t="s">
        <v>20</v>
      </c>
      <c r="F831">
        <v>9246</v>
      </c>
      <c r="G831">
        <v>1</v>
      </c>
      <c r="H831" t="s">
        <v>21</v>
      </c>
      <c r="I831" t="s">
        <v>56</v>
      </c>
      <c r="J831">
        <v>1</v>
      </c>
      <c r="K831">
        <v>2</v>
      </c>
      <c r="L831" t="s">
        <v>27</v>
      </c>
      <c r="M831">
        <v>3</v>
      </c>
      <c r="N831">
        <v>30</v>
      </c>
      <c r="O831">
        <v>5</v>
      </c>
      <c r="P831">
        <v>2</v>
      </c>
      <c r="Q831" t="s">
        <v>27</v>
      </c>
    </row>
    <row r="832" spans="1:17" x14ac:dyDescent="0.3">
      <c r="A832" t="s">
        <v>877</v>
      </c>
      <c r="B832">
        <v>40</v>
      </c>
      <c r="C832" t="s">
        <v>18</v>
      </c>
      <c r="D832" t="s">
        <v>44</v>
      </c>
      <c r="E832" t="s">
        <v>45</v>
      </c>
      <c r="F832">
        <v>6486</v>
      </c>
      <c r="G832">
        <v>1</v>
      </c>
      <c r="H832" t="s">
        <v>21</v>
      </c>
      <c r="I832" t="s">
        <v>22</v>
      </c>
      <c r="J832">
        <v>3</v>
      </c>
      <c r="K832">
        <v>4</v>
      </c>
      <c r="L832" t="s">
        <v>27</v>
      </c>
      <c r="M832">
        <v>3</v>
      </c>
      <c r="N832">
        <v>23</v>
      </c>
      <c r="O832">
        <v>5</v>
      </c>
      <c r="P832">
        <v>3</v>
      </c>
      <c r="Q832" t="s">
        <v>27</v>
      </c>
    </row>
    <row r="833" spans="1:17" x14ac:dyDescent="0.3">
      <c r="A833" t="s">
        <v>878</v>
      </c>
      <c r="B833">
        <v>26</v>
      </c>
      <c r="C833" t="s">
        <v>18</v>
      </c>
      <c r="D833" t="s">
        <v>44</v>
      </c>
      <c r="E833" t="s">
        <v>45</v>
      </c>
      <c r="F833">
        <v>6788</v>
      </c>
      <c r="G833">
        <v>0</v>
      </c>
      <c r="H833" t="s">
        <v>37</v>
      </c>
      <c r="I833" t="s">
        <v>56</v>
      </c>
      <c r="J833">
        <v>1</v>
      </c>
      <c r="K833">
        <v>1</v>
      </c>
      <c r="L833" t="s">
        <v>27</v>
      </c>
      <c r="M833">
        <v>3</v>
      </c>
      <c r="N833">
        <v>3</v>
      </c>
      <c r="O833">
        <v>6</v>
      </c>
      <c r="P833">
        <v>2</v>
      </c>
      <c r="Q833" t="s">
        <v>23</v>
      </c>
    </row>
    <row r="834" spans="1:17" x14ac:dyDescent="0.3">
      <c r="A834" t="s">
        <v>879</v>
      </c>
      <c r="B834">
        <v>28</v>
      </c>
      <c r="C834" t="s">
        <v>35</v>
      </c>
      <c r="D834" t="s">
        <v>25</v>
      </c>
      <c r="E834" t="s">
        <v>20</v>
      </c>
      <c r="F834">
        <v>10189</v>
      </c>
      <c r="G834">
        <v>6</v>
      </c>
      <c r="H834" t="s">
        <v>37</v>
      </c>
      <c r="I834" t="s">
        <v>22</v>
      </c>
      <c r="J834">
        <v>2</v>
      </c>
      <c r="K834">
        <v>1</v>
      </c>
      <c r="L834" t="s">
        <v>27</v>
      </c>
      <c r="M834">
        <v>3</v>
      </c>
      <c r="N834">
        <v>11</v>
      </c>
      <c r="O834">
        <v>1</v>
      </c>
      <c r="P834">
        <v>3</v>
      </c>
      <c r="Q834" t="s">
        <v>27</v>
      </c>
    </row>
    <row r="835" spans="1:17" x14ac:dyDescent="0.3">
      <c r="A835" t="s">
        <v>880</v>
      </c>
      <c r="B835">
        <v>23</v>
      </c>
      <c r="C835" t="s">
        <v>18</v>
      </c>
      <c r="D835" t="s">
        <v>70</v>
      </c>
      <c r="E835" t="s">
        <v>71</v>
      </c>
      <c r="F835">
        <v>7309</v>
      </c>
      <c r="G835">
        <v>3</v>
      </c>
      <c r="H835" t="s">
        <v>46</v>
      </c>
      <c r="I835" t="s">
        <v>22</v>
      </c>
      <c r="J835">
        <v>2</v>
      </c>
      <c r="K835">
        <v>3</v>
      </c>
      <c r="L835" t="s">
        <v>23</v>
      </c>
      <c r="M835">
        <v>1</v>
      </c>
      <c r="N835">
        <v>10</v>
      </c>
      <c r="O835">
        <v>0</v>
      </c>
      <c r="P835">
        <v>4</v>
      </c>
      <c r="Q835" t="s">
        <v>27</v>
      </c>
    </row>
    <row r="836" spans="1:17" x14ac:dyDescent="0.3">
      <c r="A836" t="s">
        <v>881</v>
      </c>
      <c r="B836">
        <v>37</v>
      </c>
      <c r="C836" t="s">
        <v>35</v>
      </c>
      <c r="D836" t="s">
        <v>29</v>
      </c>
      <c r="E836" t="s">
        <v>49</v>
      </c>
      <c r="F836">
        <v>10285</v>
      </c>
      <c r="G836">
        <v>3</v>
      </c>
      <c r="H836" t="s">
        <v>33</v>
      </c>
      <c r="I836" t="s">
        <v>22</v>
      </c>
      <c r="J836">
        <v>1</v>
      </c>
      <c r="K836">
        <v>3</v>
      </c>
      <c r="L836" t="s">
        <v>27</v>
      </c>
      <c r="M836">
        <v>3</v>
      </c>
      <c r="N836">
        <v>18</v>
      </c>
      <c r="O836">
        <v>6</v>
      </c>
      <c r="P836">
        <v>1</v>
      </c>
      <c r="Q836" t="s">
        <v>27</v>
      </c>
    </row>
    <row r="837" spans="1:17" x14ac:dyDescent="0.3">
      <c r="A837" t="s">
        <v>882</v>
      </c>
      <c r="B837">
        <v>32</v>
      </c>
      <c r="C837" t="s">
        <v>35</v>
      </c>
      <c r="D837" t="s">
        <v>19</v>
      </c>
      <c r="E837" t="s">
        <v>40</v>
      </c>
      <c r="F837">
        <v>11332</v>
      </c>
      <c r="G837">
        <v>10</v>
      </c>
      <c r="H837" t="s">
        <v>37</v>
      </c>
      <c r="I837" t="s">
        <v>31</v>
      </c>
      <c r="J837">
        <v>1</v>
      </c>
      <c r="K837">
        <v>1</v>
      </c>
      <c r="L837" t="s">
        <v>23</v>
      </c>
      <c r="M837">
        <v>3</v>
      </c>
      <c r="N837">
        <v>8</v>
      </c>
      <c r="O837">
        <v>1</v>
      </c>
      <c r="P837">
        <v>3</v>
      </c>
      <c r="Q837" t="s">
        <v>27</v>
      </c>
    </row>
    <row r="838" spans="1:17" x14ac:dyDescent="0.3">
      <c r="A838" t="s">
        <v>883</v>
      </c>
      <c r="B838">
        <v>31</v>
      </c>
      <c r="C838" t="s">
        <v>18</v>
      </c>
      <c r="D838" t="s">
        <v>25</v>
      </c>
      <c r="E838" t="s">
        <v>26</v>
      </c>
      <c r="F838">
        <v>13981</v>
      </c>
      <c r="G838">
        <v>13</v>
      </c>
      <c r="H838" t="s">
        <v>37</v>
      </c>
      <c r="I838" t="s">
        <v>31</v>
      </c>
      <c r="J838">
        <v>3</v>
      </c>
      <c r="K838">
        <v>4</v>
      </c>
      <c r="L838" t="s">
        <v>23</v>
      </c>
      <c r="M838">
        <v>2</v>
      </c>
      <c r="N838">
        <v>22</v>
      </c>
      <c r="O838">
        <v>4</v>
      </c>
      <c r="P838">
        <v>1</v>
      </c>
      <c r="Q838" t="s">
        <v>27</v>
      </c>
    </row>
    <row r="839" spans="1:17" x14ac:dyDescent="0.3">
      <c r="A839" t="s">
        <v>884</v>
      </c>
      <c r="B839">
        <v>38</v>
      </c>
      <c r="C839" t="s">
        <v>18</v>
      </c>
      <c r="D839" t="s">
        <v>74</v>
      </c>
      <c r="E839" t="s">
        <v>75</v>
      </c>
      <c r="F839">
        <v>12337</v>
      </c>
      <c r="G839">
        <v>7</v>
      </c>
      <c r="H839" t="s">
        <v>33</v>
      </c>
      <c r="I839" t="s">
        <v>22</v>
      </c>
      <c r="J839">
        <v>2</v>
      </c>
      <c r="K839">
        <v>4</v>
      </c>
      <c r="L839" t="s">
        <v>27</v>
      </c>
      <c r="M839">
        <v>3</v>
      </c>
      <c r="N839">
        <v>15</v>
      </c>
      <c r="O839">
        <v>2</v>
      </c>
      <c r="P839">
        <v>3</v>
      </c>
      <c r="Q839" t="s">
        <v>27</v>
      </c>
    </row>
    <row r="840" spans="1:17" x14ac:dyDescent="0.3">
      <c r="A840" t="s">
        <v>885</v>
      </c>
      <c r="B840">
        <v>39</v>
      </c>
      <c r="C840" t="s">
        <v>18</v>
      </c>
      <c r="D840" t="s">
        <v>44</v>
      </c>
      <c r="E840" t="s">
        <v>20</v>
      </c>
      <c r="F840">
        <v>10752</v>
      </c>
      <c r="G840">
        <v>2</v>
      </c>
      <c r="H840" t="s">
        <v>37</v>
      </c>
      <c r="I840" t="s">
        <v>31</v>
      </c>
      <c r="J840">
        <v>4</v>
      </c>
      <c r="K840">
        <v>4</v>
      </c>
      <c r="L840" t="s">
        <v>27</v>
      </c>
      <c r="M840">
        <v>3</v>
      </c>
      <c r="N840">
        <v>29</v>
      </c>
      <c r="O840">
        <v>3</v>
      </c>
      <c r="P840">
        <v>4</v>
      </c>
      <c r="Q840" t="s">
        <v>27</v>
      </c>
    </row>
    <row r="841" spans="1:17" x14ac:dyDescent="0.3">
      <c r="A841" t="s">
        <v>886</v>
      </c>
      <c r="B841">
        <v>32</v>
      </c>
      <c r="C841" t="s">
        <v>35</v>
      </c>
      <c r="D841" t="s">
        <v>70</v>
      </c>
      <c r="E841" t="s">
        <v>144</v>
      </c>
      <c r="F841">
        <v>3236</v>
      </c>
      <c r="G841">
        <v>0</v>
      </c>
      <c r="H841" t="s">
        <v>21</v>
      </c>
      <c r="I841" t="s">
        <v>31</v>
      </c>
      <c r="J841">
        <v>4</v>
      </c>
      <c r="K841">
        <v>2</v>
      </c>
      <c r="L841" t="s">
        <v>27</v>
      </c>
      <c r="M841">
        <v>3</v>
      </c>
      <c r="N841">
        <v>19</v>
      </c>
      <c r="O841">
        <v>4</v>
      </c>
      <c r="P841">
        <v>4</v>
      </c>
      <c r="Q841" t="s">
        <v>27</v>
      </c>
    </row>
    <row r="842" spans="1:17" x14ac:dyDescent="0.3">
      <c r="A842" t="s">
        <v>887</v>
      </c>
      <c r="B842">
        <v>25</v>
      </c>
      <c r="C842" t="s">
        <v>18</v>
      </c>
      <c r="D842" t="s">
        <v>19</v>
      </c>
      <c r="E842" t="s">
        <v>36</v>
      </c>
      <c r="F842">
        <v>9978</v>
      </c>
      <c r="G842">
        <v>3</v>
      </c>
      <c r="H842" t="s">
        <v>37</v>
      </c>
      <c r="I842" t="s">
        <v>31</v>
      </c>
      <c r="J842">
        <v>1</v>
      </c>
      <c r="K842">
        <v>3</v>
      </c>
      <c r="L842" t="s">
        <v>27</v>
      </c>
      <c r="M842">
        <v>4</v>
      </c>
      <c r="N842">
        <v>6</v>
      </c>
      <c r="O842">
        <v>2</v>
      </c>
      <c r="P842">
        <v>4</v>
      </c>
      <c r="Q842" t="s">
        <v>27</v>
      </c>
    </row>
    <row r="843" spans="1:17" x14ac:dyDescent="0.3">
      <c r="A843" t="s">
        <v>888</v>
      </c>
      <c r="B843">
        <v>32</v>
      </c>
      <c r="C843" t="s">
        <v>18</v>
      </c>
      <c r="D843" t="s">
        <v>29</v>
      </c>
      <c r="E843" t="s">
        <v>49</v>
      </c>
      <c r="F843">
        <v>4741</v>
      </c>
      <c r="G843">
        <v>0</v>
      </c>
      <c r="H843" t="s">
        <v>37</v>
      </c>
      <c r="I843" t="s">
        <v>31</v>
      </c>
      <c r="J843">
        <v>1</v>
      </c>
      <c r="K843">
        <v>1</v>
      </c>
      <c r="L843" t="s">
        <v>27</v>
      </c>
      <c r="M843">
        <v>3</v>
      </c>
      <c r="N843">
        <v>7</v>
      </c>
      <c r="O843">
        <v>0</v>
      </c>
      <c r="P843">
        <v>3</v>
      </c>
      <c r="Q843" t="s">
        <v>27</v>
      </c>
    </row>
    <row r="844" spans="1:17" x14ac:dyDescent="0.3">
      <c r="A844" t="s">
        <v>889</v>
      </c>
      <c r="B844">
        <v>44</v>
      </c>
      <c r="C844" t="s">
        <v>35</v>
      </c>
      <c r="D844" t="s">
        <v>19</v>
      </c>
      <c r="E844" t="s">
        <v>20</v>
      </c>
      <c r="F844">
        <v>12107</v>
      </c>
      <c r="G844">
        <v>2</v>
      </c>
      <c r="H844" t="s">
        <v>33</v>
      </c>
      <c r="I844" t="s">
        <v>31</v>
      </c>
      <c r="J844">
        <v>1</v>
      </c>
      <c r="K844">
        <v>1</v>
      </c>
      <c r="L844" t="s">
        <v>27</v>
      </c>
      <c r="M844">
        <v>1</v>
      </c>
      <c r="N844">
        <v>5</v>
      </c>
      <c r="O844">
        <v>5</v>
      </c>
      <c r="P844">
        <v>4</v>
      </c>
      <c r="Q844" t="s">
        <v>27</v>
      </c>
    </row>
    <row r="845" spans="1:17" x14ac:dyDescent="0.3">
      <c r="A845" t="s">
        <v>890</v>
      </c>
      <c r="B845">
        <v>40</v>
      </c>
      <c r="C845" t="s">
        <v>18</v>
      </c>
      <c r="D845" t="s">
        <v>74</v>
      </c>
      <c r="E845" t="s">
        <v>75</v>
      </c>
      <c r="F845">
        <v>11436</v>
      </c>
      <c r="G845">
        <v>11</v>
      </c>
      <c r="H845" t="s">
        <v>21</v>
      </c>
      <c r="I845" t="s">
        <v>56</v>
      </c>
      <c r="J845">
        <v>1</v>
      </c>
      <c r="K845">
        <v>4</v>
      </c>
      <c r="L845" t="s">
        <v>27</v>
      </c>
      <c r="M845">
        <v>3</v>
      </c>
      <c r="N845">
        <v>2</v>
      </c>
      <c r="O845">
        <v>6</v>
      </c>
      <c r="P845">
        <v>3</v>
      </c>
      <c r="Q845" t="s">
        <v>27</v>
      </c>
    </row>
    <row r="846" spans="1:17" x14ac:dyDescent="0.3">
      <c r="A846" t="s">
        <v>891</v>
      </c>
      <c r="B846">
        <v>32</v>
      </c>
      <c r="C846" t="s">
        <v>18</v>
      </c>
      <c r="D846" t="s">
        <v>19</v>
      </c>
      <c r="E846" t="s">
        <v>40</v>
      </c>
      <c r="F846">
        <v>8737</v>
      </c>
      <c r="G846">
        <v>4</v>
      </c>
      <c r="H846" t="s">
        <v>37</v>
      </c>
      <c r="I846" t="s">
        <v>22</v>
      </c>
      <c r="J846">
        <v>3</v>
      </c>
      <c r="K846">
        <v>1</v>
      </c>
      <c r="L846" t="s">
        <v>27</v>
      </c>
      <c r="M846">
        <v>4</v>
      </c>
      <c r="N846">
        <v>4</v>
      </c>
      <c r="O846">
        <v>3</v>
      </c>
      <c r="P846">
        <v>4</v>
      </c>
      <c r="Q846" t="s">
        <v>27</v>
      </c>
    </row>
    <row r="847" spans="1:17" x14ac:dyDescent="0.3">
      <c r="A847" t="s">
        <v>892</v>
      </c>
      <c r="B847">
        <v>21</v>
      </c>
      <c r="C847" t="s">
        <v>18</v>
      </c>
      <c r="D847" t="s">
        <v>29</v>
      </c>
      <c r="E847" t="s">
        <v>49</v>
      </c>
      <c r="F847">
        <v>6519</v>
      </c>
      <c r="G847">
        <v>3</v>
      </c>
      <c r="H847" t="s">
        <v>33</v>
      </c>
      <c r="I847" t="s">
        <v>31</v>
      </c>
      <c r="J847">
        <v>1</v>
      </c>
      <c r="K847">
        <v>3</v>
      </c>
      <c r="L847" t="s">
        <v>23</v>
      </c>
      <c r="M847">
        <v>3</v>
      </c>
      <c r="N847">
        <v>6</v>
      </c>
      <c r="O847">
        <v>2</v>
      </c>
      <c r="P847">
        <v>2</v>
      </c>
      <c r="Q847" t="s">
        <v>27</v>
      </c>
    </row>
    <row r="848" spans="1:17" x14ac:dyDescent="0.3">
      <c r="A848" t="s">
        <v>893</v>
      </c>
      <c r="B848">
        <v>45</v>
      </c>
      <c r="C848" t="s">
        <v>18</v>
      </c>
      <c r="D848" t="s">
        <v>74</v>
      </c>
      <c r="E848" t="s">
        <v>75</v>
      </c>
      <c r="F848">
        <v>8254</v>
      </c>
      <c r="G848">
        <v>1</v>
      </c>
      <c r="H848" t="s">
        <v>37</v>
      </c>
      <c r="I848" t="s">
        <v>22</v>
      </c>
      <c r="J848">
        <v>4</v>
      </c>
      <c r="K848">
        <v>1</v>
      </c>
      <c r="L848" t="s">
        <v>27</v>
      </c>
      <c r="M848">
        <v>3</v>
      </c>
      <c r="N848">
        <v>14</v>
      </c>
      <c r="O848">
        <v>4</v>
      </c>
      <c r="P848">
        <v>3</v>
      </c>
      <c r="Q848" t="s">
        <v>27</v>
      </c>
    </row>
    <row r="849" spans="1:17" x14ac:dyDescent="0.3">
      <c r="A849" t="s">
        <v>894</v>
      </c>
      <c r="B849">
        <v>39</v>
      </c>
      <c r="C849" t="s">
        <v>18</v>
      </c>
      <c r="D849" t="s">
        <v>19</v>
      </c>
      <c r="E849" t="s">
        <v>36</v>
      </c>
      <c r="F849">
        <v>6899</v>
      </c>
      <c r="G849">
        <v>1</v>
      </c>
      <c r="H849" t="s">
        <v>37</v>
      </c>
      <c r="I849" t="s">
        <v>56</v>
      </c>
      <c r="J849">
        <v>2</v>
      </c>
      <c r="K849">
        <v>1</v>
      </c>
      <c r="L849" t="s">
        <v>27</v>
      </c>
      <c r="M849">
        <v>3</v>
      </c>
      <c r="N849">
        <v>12</v>
      </c>
      <c r="O849">
        <v>5</v>
      </c>
      <c r="P849">
        <v>1</v>
      </c>
      <c r="Q849" t="s">
        <v>27</v>
      </c>
    </row>
    <row r="850" spans="1:17" x14ac:dyDescent="0.3">
      <c r="A850" t="s">
        <v>895</v>
      </c>
      <c r="B850">
        <v>24</v>
      </c>
      <c r="C850" t="s">
        <v>35</v>
      </c>
      <c r="D850" t="s">
        <v>19</v>
      </c>
      <c r="E850" t="s">
        <v>20</v>
      </c>
      <c r="F850">
        <v>14656</v>
      </c>
      <c r="G850">
        <v>3</v>
      </c>
      <c r="H850" t="s">
        <v>37</v>
      </c>
      <c r="I850" t="s">
        <v>31</v>
      </c>
      <c r="J850">
        <v>4</v>
      </c>
      <c r="K850">
        <v>2</v>
      </c>
      <c r="L850" t="s">
        <v>27</v>
      </c>
      <c r="M850">
        <v>2</v>
      </c>
      <c r="N850">
        <v>9</v>
      </c>
      <c r="O850">
        <v>2</v>
      </c>
      <c r="P850">
        <v>3</v>
      </c>
      <c r="Q850" t="s">
        <v>27</v>
      </c>
    </row>
    <row r="851" spans="1:17" x14ac:dyDescent="0.3">
      <c r="A851" t="s">
        <v>896</v>
      </c>
      <c r="B851">
        <v>22</v>
      </c>
      <c r="C851" t="s">
        <v>18</v>
      </c>
      <c r="D851" t="s">
        <v>19</v>
      </c>
      <c r="E851" t="s">
        <v>36</v>
      </c>
      <c r="F851">
        <v>9119</v>
      </c>
      <c r="G851">
        <v>0</v>
      </c>
      <c r="H851" t="s">
        <v>21</v>
      </c>
      <c r="I851" t="s">
        <v>22</v>
      </c>
      <c r="J851">
        <v>3</v>
      </c>
      <c r="K851">
        <v>1</v>
      </c>
      <c r="L851" t="s">
        <v>27</v>
      </c>
      <c r="M851">
        <v>3</v>
      </c>
      <c r="N851">
        <v>13</v>
      </c>
      <c r="O851">
        <v>6</v>
      </c>
      <c r="P851">
        <v>2</v>
      </c>
      <c r="Q851" t="s">
        <v>27</v>
      </c>
    </row>
    <row r="852" spans="1:17" x14ac:dyDescent="0.3">
      <c r="A852" t="s">
        <v>897</v>
      </c>
      <c r="B852">
        <v>31</v>
      </c>
      <c r="C852" t="s">
        <v>35</v>
      </c>
      <c r="D852" t="s">
        <v>74</v>
      </c>
      <c r="E852" t="s">
        <v>99</v>
      </c>
      <c r="F852">
        <v>8815</v>
      </c>
      <c r="G852">
        <v>9</v>
      </c>
      <c r="H852" t="s">
        <v>21</v>
      </c>
      <c r="I852" t="s">
        <v>31</v>
      </c>
      <c r="J852">
        <v>4</v>
      </c>
      <c r="K852">
        <v>4</v>
      </c>
      <c r="L852" t="s">
        <v>27</v>
      </c>
      <c r="M852">
        <v>3</v>
      </c>
      <c r="N852">
        <v>24</v>
      </c>
      <c r="O852">
        <v>6</v>
      </c>
      <c r="P852">
        <v>2</v>
      </c>
      <c r="Q852" t="s">
        <v>27</v>
      </c>
    </row>
    <row r="853" spans="1:17" x14ac:dyDescent="0.3">
      <c r="A853" t="s">
        <v>898</v>
      </c>
      <c r="B853">
        <v>39</v>
      </c>
      <c r="C853" t="s">
        <v>35</v>
      </c>
      <c r="D853" t="s">
        <v>19</v>
      </c>
      <c r="E853" t="s">
        <v>40</v>
      </c>
      <c r="F853">
        <v>7875</v>
      </c>
      <c r="G853">
        <v>3</v>
      </c>
      <c r="H853" t="s">
        <v>37</v>
      </c>
      <c r="I853" t="s">
        <v>56</v>
      </c>
      <c r="J853">
        <v>1</v>
      </c>
      <c r="K853">
        <v>3</v>
      </c>
      <c r="L853" t="s">
        <v>23</v>
      </c>
      <c r="M853">
        <v>3</v>
      </c>
      <c r="N853">
        <v>13</v>
      </c>
      <c r="O853">
        <v>3</v>
      </c>
      <c r="P853">
        <v>2</v>
      </c>
      <c r="Q853" t="s">
        <v>27</v>
      </c>
    </row>
    <row r="854" spans="1:17" x14ac:dyDescent="0.3">
      <c r="A854" t="s">
        <v>899</v>
      </c>
      <c r="B854">
        <v>31</v>
      </c>
      <c r="C854" t="s">
        <v>35</v>
      </c>
      <c r="D854" t="s">
        <v>74</v>
      </c>
      <c r="E854" t="s">
        <v>75</v>
      </c>
      <c r="F854">
        <v>8961</v>
      </c>
      <c r="G854">
        <v>1</v>
      </c>
      <c r="H854" t="s">
        <v>46</v>
      </c>
      <c r="I854" t="s">
        <v>31</v>
      </c>
      <c r="J854">
        <v>2</v>
      </c>
      <c r="K854">
        <v>3</v>
      </c>
      <c r="L854" t="s">
        <v>27</v>
      </c>
      <c r="M854">
        <v>3</v>
      </c>
      <c r="N854">
        <v>29</v>
      </c>
      <c r="O854">
        <v>1</v>
      </c>
      <c r="P854">
        <v>3</v>
      </c>
      <c r="Q854" t="s">
        <v>27</v>
      </c>
    </row>
    <row r="855" spans="1:17" x14ac:dyDescent="0.3">
      <c r="A855" t="s">
        <v>900</v>
      </c>
      <c r="B855">
        <v>32</v>
      </c>
      <c r="C855" t="s">
        <v>18</v>
      </c>
      <c r="D855" t="s">
        <v>19</v>
      </c>
      <c r="E855" t="s">
        <v>40</v>
      </c>
      <c r="F855">
        <v>8786</v>
      </c>
      <c r="G855">
        <v>7</v>
      </c>
      <c r="H855" t="s">
        <v>37</v>
      </c>
      <c r="I855" t="s">
        <v>56</v>
      </c>
      <c r="J855">
        <v>3</v>
      </c>
      <c r="K855">
        <v>2</v>
      </c>
      <c r="L855" t="s">
        <v>27</v>
      </c>
      <c r="M855">
        <v>4</v>
      </c>
      <c r="N855">
        <v>20</v>
      </c>
      <c r="O855">
        <v>5</v>
      </c>
      <c r="P855">
        <v>2</v>
      </c>
      <c r="Q855" t="s">
        <v>27</v>
      </c>
    </row>
    <row r="856" spans="1:17" x14ac:dyDescent="0.3">
      <c r="A856" t="s">
        <v>901</v>
      </c>
      <c r="B856">
        <v>26</v>
      </c>
      <c r="C856" t="s">
        <v>35</v>
      </c>
      <c r="D856" t="s">
        <v>74</v>
      </c>
      <c r="E856" t="s">
        <v>99</v>
      </c>
      <c r="F856">
        <v>9680</v>
      </c>
      <c r="G856">
        <v>0</v>
      </c>
      <c r="H856" t="s">
        <v>21</v>
      </c>
      <c r="I856" t="s">
        <v>31</v>
      </c>
      <c r="J856">
        <v>4</v>
      </c>
      <c r="K856">
        <v>3</v>
      </c>
      <c r="L856" t="s">
        <v>27</v>
      </c>
      <c r="M856">
        <v>3</v>
      </c>
      <c r="N856">
        <v>13</v>
      </c>
      <c r="O856">
        <v>5</v>
      </c>
      <c r="P856">
        <v>4</v>
      </c>
      <c r="Q856" t="s">
        <v>27</v>
      </c>
    </row>
    <row r="857" spans="1:17" x14ac:dyDescent="0.3">
      <c r="A857" t="s">
        <v>902</v>
      </c>
      <c r="B857">
        <v>39</v>
      </c>
      <c r="C857" t="s">
        <v>35</v>
      </c>
      <c r="D857" t="s">
        <v>29</v>
      </c>
      <c r="E857" t="s">
        <v>49</v>
      </c>
      <c r="F857">
        <v>5327</v>
      </c>
      <c r="G857">
        <v>2</v>
      </c>
      <c r="H857" t="s">
        <v>37</v>
      </c>
      <c r="I857" t="s">
        <v>22</v>
      </c>
      <c r="J857">
        <v>4</v>
      </c>
      <c r="K857">
        <v>1</v>
      </c>
      <c r="L857" t="s">
        <v>27</v>
      </c>
      <c r="M857">
        <v>3</v>
      </c>
      <c r="N857">
        <v>13</v>
      </c>
      <c r="O857">
        <v>3</v>
      </c>
      <c r="P857">
        <v>3</v>
      </c>
      <c r="Q857" t="s">
        <v>27</v>
      </c>
    </row>
    <row r="858" spans="1:17" x14ac:dyDescent="0.3">
      <c r="A858" t="s">
        <v>903</v>
      </c>
      <c r="B858">
        <v>28</v>
      </c>
      <c r="C858" t="s">
        <v>35</v>
      </c>
      <c r="D858" t="s">
        <v>19</v>
      </c>
      <c r="E858" t="s">
        <v>20</v>
      </c>
      <c r="F858">
        <v>14324</v>
      </c>
      <c r="G858">
        <v>10</v>
      </c>
      <c r="H858" t="s">
        <v>37</v>
      </c>
      <c r="I858" t="s">
        <v>22</v>
      </c>
      <c r="J858">
        <v>3</v>
      </c>
      <c r="K858">
        <v>2</v>
      </c>
      <c r="L858" t="s">
        <v>27</v>
      </c>
      <c r="M858">
        <v>3</v>
      </c>
      <c r="N858">
        <v>30</v>
      </c>
      <c r="O858">
        <v>6</v>
      </c>
      <c r="P858">
        <v>2</v>
      </c>
      <c r="Q858" t="s">
        <v>27</v>
      </c>
    </row>
    <row r="859" spans="1:17" x14ac:dyDescent="0.3">
      <c r="A859" t="s">
        <v>904</v>
      </c>
      <c r="B859">
        <v>33</v>
      </c>
      <c r="C859" t="s">
        <v>35</v>
      </c>
      <c r="D859" t="s">
        <v>25</v>
      </c>
      <c r="E859" t="s">
        <v>26</v>
      </c>
      <c r="F859">
        <v>10298</v>
      </c>
      <c r="G859">
        <v>2</v>
      </c>
      <c r="H859" t="s">
        <v>21</v>
      </c>
      <c r="I859" t="s">
        <v>31</v>
      </c>
      <c r="J859">
        <v>4</v>
      </c>
      <c r="K859">
        <v>4</v>
      </c>
      <c r="L859" t="s">
        <v>27</v>
      </c>
      <c r="M859">
        <v>4</v>
      </c>
      <c r="N859">
        <v>23</v>
      </c>
      <c r="O859">
        <v>2</v>
      </c>
      <c r="P859">
        <v>2</v>
      </c>
      <c r="Q859" t="s">
        <v>27</v>
      </c>
    </row>
    <row r="860" spans="1:17" x14ac:dyDescent="0.3">
      <c r="A860" t="s">
        <v>905</v>
      </c>
      <c r="B860">
        <v>34</v>
      </c>
      <c r="C860" t="s">
        <v>18</v>
      </c>
      <c r="D860" t="s">
        <v>74</v>
      </c>
      <c r="E860" t="s">
        <v>99</v>
      </c>
      <c r="F860">
        <v>7614</v>
      </c>
      <c r="G860">
        <v>3</v>
      </c>
      <c r="H860" t="s">
        <v>37</v>
      </c>
      <c r="I860" t="s">
        <v>22</v>
      </c>
      <c r="J860">
        <v>3</v>
      </c>
      <c r="K860">
        <v>3</v>
      </c>
      <c r="L860" t="s">
        <v>27</v>
      </c>
      <c r="M860">
        <v>1</v>
      </c>
      <c r="N860">
        <v>7</v>
      </c>
      <c r="O860">
        <v>6</v>
      </c>
      <c r="P860">
        <v>2</v>
      </c>
      <c r="Q860" t="s">
        <v>27</v>
      </c>
    </row>
    <row r="861" spans="1:17" x14ac:dyDescent="0.3">
      <c r="A861" t="s">
        <v>906</v>
      </c>
      <c r="B861">
        <v>28</v>
      </c>
      <c r="C861" t="s">
        <v>18</v>
      </c>
      <c r="D861" t="s">
        <v>19</v>
      </c>
      <c r="E861" t="s">
        <v>40</v>
      </c>
      <c r="F861">
        <v>6319</v>
      </c>
      <c r="G861">
        <v>0</v>
      </c>
      <c r="H861" t="s">
        <v>21</v>
      </c>
      <c r="I861" t="s">
        <v>22</v>
      </c>
      <c r="J861">
        <v>3</v>
      </c>
      <c r="K861">
        <v>1</v>
      </c>
      <c r="L861" t="s">
        <v>27</v>
      </c>
      <c r="M861">
        <v>3</v>
      </c>
      <c r="N861">
        <v>21</v>
      </c>
      <c r="O861">
        <v>3</v>
      </c>
      <c r="P861">
        <v>3</v>
      </c>
      <c r="Q861" t="s">
        <v>27</v>
      </c>
    </row>
    <row r="862" spans="1:17" x14ac:dyDescent="0.3">
      <c r="A862" t="s">
        <v>907</v>
      </c>
      <c r="B862">
        <v>26</v>
      </c>
      <c r="C862" t="s">
        <v>18</v>
      </c>
      <c r="D862" t="s">
        <v>70</v>
      </c>
      <c r="E862" t="s">
        <v>144</v>
      </c>
      <c r="F862">
        <v>6205</v>
      </c>
      <c r="G862">
        <v>1</v>
      </c>
      <c r="H862" t="s">
        <v>37</v>
      </c>
      <c r="I862" t="s">
        <v>22</v>
      </c>
      <c r="J862">
        <v>1</v>
      </c>
      <c r="K862">
        <v>4</v>
      </c>
      <c r="L862" t="s">
        <v>23</v>
      </c>
      <c r="M862">
        <v>2</v>
      </c>
      <c r="N862">
        <v>23</v>
      </c>
      <c r="O862">
        <v>2</v>
      </c>
      <c r="P862">
        <v>1</v>
      </c>
      <c r="Q862" t="s">
        <v>27</v>
      </c>
    </row>
    <row r="863" spans="1:17" x14ac:dyDescent="0.3">
      <c r="A863" t="s">
        <v>908</v>
      </c>
      <c r="B863">
        <v>28</v>
      </c>
      <c r="C863" t="s">
        <v>18</v>
      </c>
      <c r="D863" t="s">
        <v>25</v>
      </c>
      <c r="E863" t="s">
        <v>26</v>
      </c>
      <c r="F863">
        <v>9097</v>
      </c>
      <c r="G863">
        <v>6</v>
      </c>
      <c r="H863" t="s">
        <v>37</v>
      </c>
      <c r="I863" t="s">
        <v>22</v>
      </c>
      <c r="J863">
        <v>3</v>
      </c>
      <c r="K863">
        <v>2</v>
      </c>
      <c r="L863" t="s">
        <v>27</v>
      </c>
      <c r="M863">
        <v>3</v>
      </c>
      <c r="N863">
        <v>16</v>
      </c>
      <c r="O863">
        <v>4</v>
      </c>
      <c r="P863">
        <v>4</v>
      </c>
      <c r="Q863" t="s">
        <v>27</v>
      </c>
    </row>
    <row r="864" spans="1:17" x14ac:dyDescent="0.3">
      <c r="A864" t="s">
        <v>909</v>
      </c>
      <c r="B864">
        <v>33</v>
      </c>
      <c r="C864" t="s">
        <v>35</v>
      </c>
      <c r="D864" t="s">
        <v>19</v>
      </c>
      <c r="E864" t="s">
        <v>20</v>
      </c>
      <c r="F864">
        <v>9007</v>
      </c>
      <c r="G864">
        <v>0</v>
      </c>
      <c r="H864" t="s">
        <v>37</v>
      </c>
      <c r="I864" t="s">
        <v>31</v>
      </c>
      <c r="J864">
        <v>3</v>
      </c>
      <c r="K864">
        <v>3</v>
      </c>
      <c r="L864" t="s">
        <v>23</v>
      </c>
      <c r="M864">
        <v>3</v>
      </c>
      <c r="N864">
        <v>28</v>
      </c>
      <c r="O864">
        <v>3</v>
      </c>
      <c r="P864">
        <v>2</v>
      </c>
      <c r="Q864" t="s">
        <v>23</v>
      </c>
    </row>
    <row r="865" spans="1:17" x14ac:dyDescent="0.3">
      <c r="A865" t="s">
        <v>910</v>
      </c>
      <c r="B865">
        <v>23</v>
      </c>
      <c r="C865" t="s">
        <v>18</v>
      </c>
      <c r="D865" t="s">
        <v>25</v>
      </c>
      <c r="E865" t="s">
        <v>61</v>
      </c>
      <c r="F865">
        <v>6656</v>
      </c>
      <c r="G865">
        <v>2</v>
      </c>
      <c r="H865" t="s">
        <v>37</v>
      </c>
      <c r="I865" t="s">
        <v>31</v>
      </c>
      <c r="J865">
        <v>3</v>
      </c>
      <c r="K865">
        <v>2</v>
      </c>
      <c r="L865" t="s">
        <v>27</v>
      </c>
      <c r="M865">
        <v>3</v>
      </c>
      <c r="N865">
        <v>4</v>
      </c>
      <c r="O865">
        <v>3</v>
      </c>
      <c r="P865">
        <v>2</v>
      </c>
      <c r="Q865" t="s">
        <v>27</v>
      </c>
    </row>
    <row r="866" spans="1:17" x14ac:dyDescent="0.3">
      <c r="A866" t="s">
        <v>911</v>
      </c>
      <c r="B866">
        <v>38</v>
      </c>
      <c r="C866" t="s">
        <v>35</v>
      </c>
      <c r="D866" t="s">
        <v>29</v>
      </c>
      <c r="E866" t="s">
        <v>49</v>
      </c>
      <c r="F866">
        <v>5120</v>
      </c>
      <c r="G866">
        <v>0</v>
      </c>
      <c r="H866" t="s">
        <v>21</v>
      </c>
      <c r="I866" t="s">
        <v>31</v>
      </c>
      <c r="J866">
        <v>2</v>
      </c>
      <c r="K866">
        <v>3</v>
      </c>
      <c r="L866" t="s">
        <v>27</v>
      </c>
      <c r="M866">
        <v>2</v>
      </c>
      <c r="N866">
        <v>21</v>
      </c>
      <c r="O866">
        <v>4</v>
      </c>
      <c r="P866">
        <v>1</v>
      </c>
      <c r="Q866" t="s">
        <v>27</v>
      </c>
    </row>
    <row r="867" spans="1:17" x14ac:dyDescent="0.3">
      <c r="A867" t="s">
        <v>912</v>
      </c>
      <c r="B867">
        <v>25</v>
      </c>
      <c r="C867" t="s">
        <v>35</v>
      </c>
      <c r="D867" t="s">
        <v>70</v>
      </c>
      <c r="E867" t="s">
        <v>144</v>
      </c>
      <c r="F867">
        <v>5273</v>
      </c>
      <c r="G867">
        <v>2</v>
      </c>
      <c r="H867" t="s">
        <v>37</v>
      </c>
      <c r="I867" t="s">
        <v>22</v>
      </c>
      <c r="J867">
        <v>1</v>
      </c>
      <c r="K867">
        <v>2</v>
      </c>
      <c r="L867" t="s">
        <v>27</v>
      </c>
      <c r="M867">
        <v>3</v>
      </c>
      <c r="N867">
        <v>17</v>
      </c>
      <c r="O867">
        <v>4</v>
      </c>
      <c r="P867">
        <v>2</v>
      </c>
      <c r="Q867" t="s">
        <v>27</v>
      </c>
    </row>
    <row r="868" spans="1:17" x14ac:dyDescent="0.3">
      <c r="A868" t="s">
        <v>913</v>
      </c>
      <c r="B868">
        <v>27</v>
      </c>
      <c r="C868" t="s">
        <v>35</v>
      </c>
      <c r="D868" t="s">
        <v>29</v>
      </c>
      <c r="E868" t="s">
        <v>20</v>
      </c>
      <c r="F868">
        <v>13163</v>
      </c>
      <c r="G868">
        <v>2</v>
      </c>
      <c r="H868" t="s">
        <v>46</v>
      </c>
      <c r="I868" t="s">
        <v>31</v>
      </c>
      <c r="J868">
        <v>1</v>
      </c>
      <c r="K868">
        <v>4</v>
      </c>
      <c r="L868" t="s">
        <v>27</v>
      </c>
      <c r="M868">
        <v>3</v>
      </c>
      <c r="N868">
        <v>6</v>
      </c>
      <c r="O868">
        <v>1</v>
      </c>
      <c r="P868">
        <v>1</v>
      </c>
      <c r="Q868" t="s">
        <v>27</v>
      </c>
    </row>
    <row r="869" spans="1:17" x14ac:dyDescent="0.3">
      <c r="A869" t="s">
        <v>914</v>
      </c>
      <c r="B869">
        <v>23</v>
      </c>
      <c r="C869" t="s">
        <v>35</v>
      </c>
      <c r="D869" t="s">
        <v>19</v>
      </c>
      <c r="E869" t="s">
        <v>40</v>
      </c>
      <c r="F869">
        <v>7834</v>
      </c>
      <c r="G869">
        <v>0</v>
      </c>
      <c r="H869" t="s">
        <v>33</v>
      </c>
      <c r="I869" t="s">
        <v>22</v>
      </c>
      <c r="J869">
        <v>3</v>
      </c>
      <c r="K869">
        <v>4</v>
      </c>
      <c r="L869" t="s">
        <v>23</v>
      </c>
      <c r="M869">
        <v>1</v>
      </c>
      <c r="N869">
        <v>15</v>
      </c>
      <c r="O869">
        <v>1</v>
      </c>
      <c r="P869">
        <v>2</v>
      </c>
      <c r="Q869" t="s">
        <v>27</v>
      </c>
    </row>
    <row r="870" spans="1:17" x14ac:dyDescent="0.3">
      <c r="A870" t="s">
        <v>915</v>
      </c>
      <c r="B870">
        <v>37</v>
      </c>
      <c r="C870" t="s">
        <v>18</v>
      </c>
      <c r="D870" t="s">
        <v>25</v>
      </c>
      <c r="E870" t="s">
        <v>26</v>
      </c>
      <c r="F870">
        <v>8474</v>
      </c>
      <c r="G870">
        <v>1</v>
      </c>
      <c r="H870" t="s">
        <v>37</v>
      </c>
      <c r="I870" t="s">
        <v>31</v>
      </c>
      <c r="J870">
        <v>1</v>
      </c>
      <c r="K870">
        <v>1</v>
      </c>
      <c r="L870" t="s">
        <v>27</v>
      </c>
      <c r="M870">
        <v>3</v>
      </c>
      <c r="N870">
        <v>25</v>
      </c>
      <c r="O870">
        <v>4</v>
      </c>
      <c r="P870">
        <v>4</v>
      </c>
      <c r="Q870" t="s">
        <v>27</v>
      </c>
    </row>
    <row r="871" spans="1:17" x14ac:dyDescent="0.3">
      <c r="A871" t="s">
        <v>916</v>
      </c>
      <c r="B871">
        <v>32</v>
      </c>
      <c r="C871" t="s">
        <v>18</v>
      </c>
      <c r="D871" t="s">
        <v>70</v>
      </c>
      <c r="E871" t="s">
        <v>144</v>
      </c>
      <c r="F871">
        <v>8592</v>
      </c>
      <c r="G871">
        <v>10</v>
      </c>
      <c r="H871" t="s">
        <v>37</v>
      </c>
      <c r="I871" t="s">
        <v>56</v>
      </c>
      <c r="J871">
        <v>3</v>
      </c>
      <c r="K871">
        <v>3</v>
      </c>
      <c r="L871" t="s">
        <v>27</v>
      </c>
      <c r="M871">
        <v>2</v>
      </c>
      <c r="N871">
        <v>4</v>
      </c>
      <c r="O871">
        <v>0</v>
      </c>
      <c r="P871">
        <v>1</v>
      </c>
      <c r="Q871" t="s">
        <v>27</v>
      </c>
    </row>
    <row r="872" spans="1:17" x14ac:dyDescent="0.3">
      <c r="A872" t="s">
        <v>917</v>
      </c>
      <c r="B872">
        <v>30</v>
      </c>
      <c r="C872" t="s">
        <v>18</v>
      </c>
      <c r="D872" t="s">
        <v>44</v>
      </c>
      <c r="E872" t="s">
        <v>45</v>
      </c>
      <c r="F872">
        <v>6219</v>
      </c>
      <c r="G872">
        <v>1</v>
      </c>
      <c r="H872" t="s">
        <v>37</v>
      </c>
      <c r="I872" t="s">
        <v>56</v>
      </c>
      <c r="J872">
        <v>2</v>
      </c>
      <c r="K872">
        <v>1</v>
      </c>
      <c r="L872" t="s">
        <v>27</v>
      </c>
      <c r="M872">
        <v>2</v>
      </c>
      <c r="N872">
        <v>20</v>
      </c>
      <c r="O872">
        <v>3</v>
      </c>
      <c r="P872">
        <v>1</v>
      </c>
      <c r="Q872" t="s">
        <v>27</v>
      </c>
    </row>
    <row r="873" spans="1:17" x14ac:dyDescent="0.3">
      <c r="A873" t="s">
        <v>918</v>
      </c>
      <c r="B873">
        <v>31</v>
      </c>
      <c r="C873" t="s">
        <v>35</v>
      </c>
      <c r="D873" t="s">
        <v>25</v>
      </c>
      <c r="E873" t="s">
        <v>61</v>
      </c>
      <c r="F873">
        <v>5996</v>
      </c>
      <c r="G873">
        <v>1</v>
      </c>
      <c r="H873" t="s">
        <v>21</v>
      </c>
      <c r="I873" t="s">
        <v>56</v>
      </c>
      <c r="J873">
        <v>2</v>
      </c>
      <c r="K873">
        <v>3</v>
      </c>
      <c r="L873" t="s">
        <v>23</v>
      </c>
      <c r="M873">
        <v>3</v>
      </c>
      <c r="N873">
        <v>30</v>
      </c>
      <c r="O873">
        <v>1</v>
      </c>
      <c r="P873">
        <v>2</v>
      </c>
      <c r="Q873" t="s">
        <v>27</v>
      </c>
    </row>
    <row r="874" spans="1:17" x14ac:dyDescent="0.3">
      <c r="A874" t="s">
        <v>919</v>
      </c>
      <c r="B874">
        <v>30</v>
      </c>
      <c r="C874" t="s">
        <v>18</v>
      </c>
      <c r="D874" t="s">
        <v>70</v>
      </c>
      <c r="E874" t="s">
        <v>144</v>
      </c>
      <c r="F874">
        <v>7826</v>
      </c>
      <c r="G874">
        <v>4</v>
      </c>
      <c r="H874" t="s">
        <v>37</v>
      </c>
      <c r="I874" t="s">
        <v>56</v>
      </c>
      <c r="J874">
        <v>1</v>
      </c>
      <c r="K874">
        <v>2</v>
      </c>
      <c r="L874" t="s">
        <v>27</v>
      </c>
      <c r="M874">
        <v>3</v>
      </c>
      <c r="N874">
        <v>8</v>
      </c>
      <c r="O874">
        <v>2</v>
      </c>
      <c r="P874">
        <v>4</v>
      </c>
      <c r="Q874" t="s">
        <v>23</v>
      </c>
    </row>
    <row r="875" spans="1:17" x14ac:dyDescent="0.3">
      <c r="A875" t="s">
        <v>920</v>
      </c>
      <c r="B875">
        <v>36</v>
      </c>
      <c r="C875" t="s">
        <v>35</v>
      </c>
      <c r="D875" t="s">
        <v>19</v>
      </c>
      <c r="E875" t="s">
        <v>20</v>
      </c>
      <c r="F875">
        <v>13663</v>
      </c>
      <c r="G875">
        <v>4</v>
      </c>
      <c r="H875" t="s">
        <v>46</v>
      </c>
      <c r="I875" t="s">
        <v>31</v>
      </c>
      <c r="J875">
        <v>1</v>
      </c>
      <c r="K875">
        <v>4</v>
      </c>
      <c r="L875" t="s">
        <v>27</v>
      </c>
      <c r="M875">
        <v>3</v>
      </c>
      <c r="N875">
        <v>6</v>
      </c>
      <c r="O875">
        <v>5</v>
      </c>
      <c r="P875">
        <v>4</v>
      </c>
      <c r="Q875" t="s">
        <v>27</v>
      </c>
    </row>
    <row r="876" spans="1:17" x14ac:dyDescent="0.3">
      <c r="A876" t="s">
        <v>921</v>
      </c>
      <c r="B876">
        <v>34</v>
      </c>
      <c r="C876" t="s">
        <v>35</v>
      </c>
      <c r="D876" t="s">
        <v>44</v>
      </c>
      <c r="E876" t="s">
        <v>54</v>
      </c>
      <c r="F876">
        <v>7994</v>
      </c>
      <c r="G876">
        <v>4</v>
      </c>
      <c r="H876" t="s">
        <v>21</v>
      </c>
      <c r="I876" t="s">
        <v>31</v>
      </c>
      <c r="J876">
        <v>4</v>
      </c>
      <c r="K876">
        <v>4</v>
      </c>
      <c r="L876" t="s">
        <v>27</v>
      </c>
      <c r="M876">
        <v>3</v>
      </c>
      <c r="N876">
        <v>8</v>
      </c>
      <c r="O876">
        <v>3</v>
      </c>
      <c r="P876">
        <v>1</v>
      </c>
      <c r="Q876" t="s">
        <v>27</v>
      </c>
    </row>
    <row r="877" spans="1:17" x14ac:dyDescent="0.3">
      <c r="A877" t="s">
        <v>922</v>
      </c>
      <c r="B877">
        <v>21</v>
      </c>
      <c r="C877" t="s">
        <v>18</v>
      </c>
      <c r="D877" t="s">
        <v>70</v>
      </c>
      <c r="E877" t="s">
        <v>20</v>
      </c>
      <c r="F877">
        <v>10910</v>
      </c>
      <c r="G877">
        <v>0</v>
      </c>
      <c r="H877" t="s">
        <v>37</v>
      </c>
      <c r="I877" t="s">
        <v>31</v>
      </c>
      <c r="J877">
        <v>3</v>
      </c>
      <c r="K877">
        <v>2</v>
      </c>
      <c r="L877" t="s">
        <v>27</v>
      </c>
      <c r="M877">
        <v>2</v>
      </c>
      <c r="N877">
        <v>1</v>
      </c>
      <c r="O877">
        <v>3</v>
      </c>
      <c r="P877">
        <v>4</v>
      </c>
      <c r="Q877" t="s">
        <v>27</v>
      </c>
    </row>
    <row r="878" spans="1:17" x14ac:dyDescent="0.3">
      <c r="A878" t="s">
        <v>923</v>
      </c>
      <c r="B878">
        <v>18</v>
      </c>
      <c r="C878" t="s">
        <v>35</v>
      </c>
      <c r="D878" t="s">
        <v>25</v>
      </c>
      <c r="E878" t="s">
        <v>26</v>
      </c>
      <c r="F878">
        <v>6481</v>
      </c>
      <c r="G878">
        <v>0</v>
      </c>
      <c r="H878" t="s">
        <v>21</v>
      </c>
      <c r="I878" t="s">
        <v>31</v>
      </c>
      <c r="J878">
        <v>3</v>
      </c>
      <c r="K878">
        <v>4</v>
      </c>
      <c r="L878" t="s">
        <v>27</v>
      </c>
      <c r="M878">
        <v>3</v>
      </c>
      <c r="N878">
        <v>26</v>
      </c>
      <c r="O878">
        <v>2</v>
      </c>
      <c r="P878">
        <v>4</v>
      </c>
      <c r="Q878" t="s">
        <v>27</v>
      </c>
    </row>
    <row r="879" spans="1:17" x14ac:dyDescent="0.3">
      <c r="A879" t="s">
        <v>924</v>
      </c>
      <c r="B879">
        <v>33</v>
      </c>
      <c r="C879" t="s">
        <v>18</v>
      </c>
      <c r="D879" t="s">
        <v>74</v>
      </c>
      <c r="E879" t="s">
        <v>99</v>
      </c>
      <c r="F879">
        <v>10125</v>
      </c>
      <c r="G879">
        <v>2</v>
      </c>
      <c r="H879" t="s">
        <v>33</v>
      </c>
      <c r="I879" t="s">
        <v>56</v>
      </c>
      <c r="J879">
        <v>2</v>
      </c>
      <c r="K879">
        <v>2</v>
      </c>
      <c r="L879" t="s">
        <v>27</v>
      </c>
      <c r="M879">
        <v>3</v>
      </c>
      <c r="N879">
        <v>28</v>
      </c>
      <c r="O879">
        <v>4</v>
      </c>
      <c r="P879">
        <v>4</v>
      </c>
      <c r="Q879" t="s">
        <v>27</v>
      </c>
    </row>
    <row r="880" spans="1:17" x14ac:dyDescent="0.3">
      <c r="A880" t="s">
        <v>925</v>
      </c>
      <c r="B880">
        <v>36</v>
      </c>
      <c r="C880" t="s">
        <v>35</v>
      </c>
      <c r="D880" t="s">
        <v>44</v>
      </c>
      <c r="E880" t="s">
        <v>45</v>
      </c>
      <c r="F880">
        <v>7594</v>
      </c>
      <c r="G880">
        <v>1</v>
      </c>
      <c r="H880" t="s">
        <v>37</v>
      </c>
      <c r="I880" t="s">
        <v>22</v>
      </c>
      <c r="J880">
        <v>1</v>
      </c>
      <c r="K880">
        <v>2</v>
      </c>
      <c r="L880" t="s">
        <v>27</v>
      </c>
      <c r="M880">
        <v>3</v>
      </c>
      <c r="N880">
        <v>10</v>
      </c>
      <c r="O880">
        <v>6</v>
      </c>
      <c r="P880">
        <v>1</v>
      </c>
      <c r="Q880" t="s">
        <v>27</v>
      </c>
    </row>
    <row r="881" spans="1:17" x14ac:dyDescent="0.3">
      <c r="A881" t="s">
        <v>926</v>
      </c>
      <c r="B881">
        <v>24</v>
      </c>
      <c r="C881" t="s">
        <v>35</v>
      </c>
      <c r="D881" t="s">
        <v>70</v>
      </c>
      <c r="E881" t="s">
        <v>144</v>
      </c>
      <c r="F881">
        <v>8432</v>
      </c>
      <c r="G881">
        <v>6</v>
      </c>
      <c r="H881" t="s">
        <v>21</v>
      </c>
      <c r="I881" t="s">
        <v>56</v>
      </c>
      <c r="J881">
        <v>2</v>
      </c>
      <c r="K881">
        <v>1</v>
      </c>
      <c r="L881" t="s">
        <v>23</v>
      </c>
      <c r="M881">
        <v>3</v>
      </c>
      <c r="N881">
        <v>22</v>
      </c>
      <c r="O881">
        <v>3</v>
      </c>
      <c r="P881">
        <v>4</v>
      </c>
      <c r="Q881" t="s">
        <v>27</v>
      </c>
    </row>
    <row r="882" spans="1:17" x14ac:dyDescent="0.3">
      <c r="A882" t="s">
        <v>927</v>
      </c>
      <c r="B882">
        <v>36</v>
      </c>
      <c r="C882" t="s">
        <v>18</v>
      </c>
      <c r="D882" t="s">
        <v>74</v>
      </c>
      <c r="E882" t="s">
        <v>75</v>
      </c>
      <c r="F882">
        <v>6123</v>
      </c>
      <c r="G882">
        <v>6</v>
      </c>
      <c r="H882" t="s">
        <v>21</v>
      </c>
      <c r="I882" t="s">
        <v>56</v>
      </c>
      <c r="J882">
        <v>2</v>
      </c>
      <c r="K882">
        <v>4</v>
      </c>
      <c r="L882" t="s">
        <v>23</v>
      </c>
      <c r="M882">
        <v>1</v>
      </c>
      <c r="N882">
        <v>3</v>
      </c>
      <c r="O882">
        <v>4</v>
      </c>
      <c r="P882">
        <v>2</v>
      </c>
      <c r="Q882" t="s">
        <v>27</v>
      </c>
    </row>
    <row r="883" spans="1:17" x14ac:dyDescent="0.3">
      <c r="A883" t="s">
        <v>928</v>
      </c>
      <c r="B883">
        <v>26</v>
      </c>
      <c r="C883" t="s">
        <v>18</v>
      </c>
      <c r="D883" t="s">
        <v>29</v>
      </c>
      <c r="E883" t="s">
        <v>20</v>
      </c>
      <c r="F883">
        <v>11247</v>
      </c>
      <c r="G883">
        <v>3</v>
      </c>
      <c r="H883" t="s">
        <v>37</v>
      </c>
      <c r="I883" t="s">
        <v>31</v>
      </c>
      <c r="J883">
        <v>4</v>
      </c>
      <c r="K883">
        <v>4</v>
      </c>
      <c r="L883" t="s">
        <v>27</v>
      </c>
      <c r="M883">
        <v>2</v>
      </c>
      <c r="N883">
        <v>17</v>
      </c>
      <c r="O883">
        <v>4</v>
      </c>
      <c r="P883">
        <v>2</v>
      </c>
      <c r="Q883" t="s">
        <v>27</v>
      </c>
    </row>
    <row r="884" spans="1:17" x14ac:dyDescent="0.3">
      <c r="A884" t="s">
        <v>929</v>
      </c>
      <c r="B884">
        <v>32</v>
      </c>
      <c r="C884" t="s">
        <v>18</v>
      </c>
      <c r="D884" t="s">
        <v>70</v>
      </c>
      <c r="E884" t="s">
        <v>71</v>
      </c>
      <c r="F884">
        <v>13903</v>
      </c>
      <c r="G884">
        <v>12</v>
      </c>
      <c r="H884" t="s">
        <v>37</v>
      </c>
      <c r="I884" t="s">
        <v>31</v>
      </c>
      <c r="J884">
        <v>1</v>
      </c>
      <c r="K884">
        <v>1</v>
      </c>
      <c r="L884" t="s">
        <v>23</v>
      </c>
      <c r="M884">
        <v>2</v>
      </c>
      <c r="N884">
        <v>8</v>
      </c>
      <c r="O884">
        <v>6</v>
      </c>
      <c r="P884">
        <v>4</v>
      </c>
      <c r="Q884" t="s">
        <v>27</v>
      </c>
    </row>
    <row r="885" spans="1:17" x14ac:dyDescent="0.3">
      <c r="A885" t="s">
        <v>930</v>
      </c>
      <c r="B885">
        <v>30</v>
      </c>
      <c r="C885" t="s">
        <v>18</v>
      </c>
      <c r="D885" t="s">
        <v>19</v>
      </c>
      <c r="E885" t="s">
        <v>40</v>
      </c>
      <c r="F885">
        <v>13232</v>
      </c>
      <c r="G885">
        <v>12</v>
      </c>
      <c r="H885" t="s">
        <v>33</v>
      </c>
      <c r="I885" t="s">
        <v>31</v>
      </c>
      <c r="J885">
        <v>1</v>
      </c>
      <c r="K885">
        <v>4</v>
      </c>
      <c r="L885" t="s">
        <v>27</v>
      </c>
      <c r="M885">
        <v>2</v>
      </c>
      <c r="N885">
        <v>5</v>
      </c>
      <c r="O885">
        <v>0</v>
      </c>
      <c r="P885">
        <v>3</v>
      </c>
      <c r="Q885" t="s">
        <v>23</v>
      </c>
    </row>
    <row r="886" spans="1:17" x14ac:dyDescent="0.3">
      <c r="A886" t="s">
        <v>931</v>
      </c>
      <c r="B886">
        <v>40</v>
      </c>
      <c r="C886" t="s">
        <v>18</v>
      </c>
      <c r="D886" t="s">
        <v>74</v>
      </c>
      <c r="E886" t="s">
        <v>75</v>
      </c>
      <c r="F886">
        <v>9950</v>
      </c>
      <c r="G886">
        <v>9</v>
      </c>
      <c r="H886" t="s">
        <v>37</v>
      </c>
      <c r="I886" t="s">
        <v>31</v>
      </c>
      <c r="J886">
        <v>1</v>
      </c>
      <c r="K886">
        <v>1</v>
      </c>
      <c r="L886" t="s">
        <v>27</v>
      </c>
      <c r="M886">
        <v>2</v>
      </c>
      <c r="N886">
        <v>11</v>
      </c>
      <c r="O886">
        <v>4</v>
      </c>
      <c r="P886">
        <v>2</v>
      </c>
      <c r="Q886" t="s">
        <v>27</v>
      </c>
    </row>
    <row r="887" spans="1:17" x14ac:dyDescent="0.3">
      <c r="A887" t="s">
        <v>932</v>
      </c>
      <c r="B887">
        <v>28</v>
      </c>
      <c r="C887" t="s">
        <v>35</v>
      </c>
      <c r="D887" t="s">
        <v>74</v>
      </c>
      <c r="E887" t="s">
        <v>20</v>
      </c>
      <c r="F887">
        <v>13530</v>
      </c>
      <c r="G887">
        <v>6</v>
      </c>
      <c r="H887" t="s">
        <v>37</v>
      </c>
      <c r="I887" t="s">
        <v>22</v>
      </c>
      <c r="J887">
        <v>4</v>
      </c>
      <c r="K887">
        <v>3</v>
      </c>
      <c r="L887" t="s">
        <v>27</v>
      </c>
      <c r="M887">
        <v>3</v>
      </c>
      <c r="N887">
        <v>1</v>
      </c>
      <c r="O887">
        <v>5</v>
      </c>
      <c r="P887">
        <v>4</v>
      </c>
      <c r="Q887" t="s">
        <v>27</v>
      </c>
    </row>
    <row r="888" spans="1:17" x14ac:dyDescent="0.3">
      <c r="A888" t="s">
        <v>933</v>
      </c>
      <c r="B888">
        <v>27</v>
      </c>
      <c r="C888" t="s">
        <v>18</v>
      </c>
      <c r="D888" t="s">
        <v>19</v>
      </c>
      <c r="E888" t="s">
        <v>36</v>
      </c>
      <c r="F888">
        <v>8153</v>
      </c>
      <c r="G888">
        <v>1</v>
      </c>
      <c r="H888" t="s">
        <v>33</v>
      </c>
      <c r="I888" t="s">
        <v>31</v>
      </c>
      <c r="J888">
        <v>4</v>
      </c>
      <c r="K888">
        <v>1</v>
      </c>
      <c r="L888" t="s">
        <v>27</v>
      </c>
      <c r="M888">
        <v>3</v>
      </c>
      <c r="N888">
        <v>14</v>
      </c>
      <c r="O888">
        <v>2</v>
      </c>
      <c r="P888">
        <v>2</v>
      </c>
      <c r="Q888" t="s">
        <v>23</v>
      </c>
    </row>
    <row r="889" spans="1:17" x14ac:dyDescent="0.3">
      <c r="A889" t="s">
        <v>934</v>
      </c>
      <c r="B889">
        <v>36</v>
      </c>
      <c r="C889" t="s">
        <v>18</v>
      </c>
      <c r="D889" t="s">
        <v>25</v>
      </c>
      <c r="E889" t="s">
        <v>26</v>
      </c>
      <c r="F889">
        <v>15426</v>
      </c>
      <c r="G889">
        <v>11</v>
      </c>
      <c r="H889" t="s">
        <v>37</v>
      </c>
      <c r="I889" t="s">
        <v>22</v>
      </c>
      <c r="J889">
        <v>4</v>
      </c>
      <c r="K889">
        <v>1</v>
      </c>
      <c r="L889" t="s">
        <v>27</v>
      </c>
      <c r="M889">
        <v>3</v>
      </c>
      <c r="N889">
        <v>28</v>
      </c>
      <c r="O889">
        <v>0</v>
      </c>
      <c r="P889">
        <v>4</v>
      </c>
      <c r="Q889" t="s">
        <v>27</v>
      </c>
    </row>
    <row r="890" spans="1:17" x14ac:dyDescent="0.3">
      <c r="A890" t="s">
        <v>935</v>
      </c>
      <c r="B890">
        <v>26</v>
      </c>
      <c r="C890" t="s">
        <v>35</v>
      </c>
      <c r="D890" t="s">
        <v>25</v>
      </c>
      <c r="E890" t="s">
        <v>26</v>
      </c>
      <c r="F890">
        <v>11297</v>
      </c>
      <c r="G890">
        <v>4</v>
      </c>
      <c r="H890" t="s">
        <v>33</v>
      </c>
      <c r="I890" t="s">
        <v>31</v>
      </c>
      <c r="J890">
        <v>3</v>
      </c>
      <c r="K890">
        <v>1</v>
      </c>
      <c r="L890" t="s">
        <v>27</v>
      </c>
      <c r="M890">
        <v>2</v>
      </c>
      <c r="N890">
        <v>22</v>
      </c>
      <c r="O890">
        <v>2</v>
      </c>
      <c r="P890">
        <v>3</v>
      </c>
      <c r="Q890" t="s">
        <v>27</v>
      </c>
    </row>
    <row r="891" spans="1:17" x14ac:dyDescent="0.3">
      <c r="A891" t="s">
        <v>936</v>
      </c>
      <c r="B891">
        <v>33</v>
      </c>
      <c r="C891" t="s">
        <v>35</v>
      </c>
      <c r="D891" t="s">
        <v>70</v>
      </c>
      <c r="E891" t="s">
        <v>71</v>
      </c>
      <c r="F891">
        <v>8379</v>
      </c>
      <c r="G891">
        <v>4</v>
      </c>
      <c r="H891" t="s">
        <v>37</v>
      </c>
      <c r="I891" t="s">
        <v>22</v>
      </c>
      <c r="J891">
        <v>1</v>
      </c>
      <c r="K891">
        <v>3</v>
      </c>
      <c r="L891" t="s">
        <v>27</v>
      </c>
      <c r="M891">
        <v>2</v>
      </c>
      <c r="N891">
        <v>3</v>
      </c>
      <c r="O891">
        <v>4</v>
      </c>
      <c r="P891">
        <v>4</v>
      </c>
      <c r="Q891" t="s">
        <v>27</v>
      </c>
    </row>
    <row r="892" spans="1:17" x14ac:dyDescent="0.3">
      <c r="A892" t="s">
        <v>937</v>
      </c>
      <c r="B892">
        <v>28</v>
      </c>
      <c r="C892" t="s">
        <v>35</v>
      </c>
      <c r="D892" t="s">
        <v>74</v>
      </c>
      <c r="E892" t="s">
        <v>99</v>
      </c>
      <c r="F892">
        <v>11193</v>
      </c>
      <c r="G892">
        <v>6</v>
      </c>
      <c r="H892" t="s">
        <v>46</v>
      </c>
      <c r="I892" t="s">
        <v>22</v>
      </c>
      <c r="J892">
        <v>1</v>
      </c>
      <c r="K892">
        <v>3</v>
      </c>
      <c r="L892" t="s">
        <v>27</v>
      </c>
      <c r="M892">
        <v>3</v>
      </c>
      <c r="N892">
        <v>17</v>
      </c>
      <c r="O892">
        <v>3</v>
      </c>
      <c r="P892">
        <v>2</v>
      </c>
      <c r="Q892" t="s">
        <v>27</v>
      </c>
    </row>
    <row r="893" spans="1:17" x14ac:dyDescent="0.3">
      <c r="A893" t="s">
        <v>938</v>
      </c>
      <c r="B893">
        <v>24</v>
      </c>
      <c r="C893" t="s">
        <v>35</v>
      </c>
      <c r="D893" t="s">
        <v>25</v>
      </c>
      <c r="E893" t="s">
        <v>26</v>
      </c>
      <c r="F893">
        <v>11009</v>
      </c>
      <c r="G893">
        <v>6</v>
      </c>
      <c r="H893" t="s">
        <v>21</v>
      </c>
      <c r="I893" t="s">
        <v>22</v>
      </c>
      <c r="J893">
        <v>3</v>
      </c>
      <c r="K893">
        <v>1</v>
      </c>
      <c r="L893" t="s">
        <v>27</v>
      </c>
      <c r="M893">
        <v>4</v>
      </c>
      <c r="N893">
        <v>22</v>
      </c>
      <c r="O893">
        <v>6</v>
      </c>
      <c r="P893">
        <v>4</v>
      </c>
      <c r="Q893" t="s">
        <v>27</v>
      </c>
    </row>
    <row r="894" spans="1:17" x14ac:dyDescent="0.3">
      <c r="A894" t="s">
        <v>939</v>
      </c>
      <c r="B894">
        <v>43</v>
      </c>
      <c r="C894" t="s">
        <v>35</v>
      </c>
      <c r="D894" t="s">
        <v>19</v>
      </c>
      <c r="E894" t="s">
        <v>36</v>
      </c>
      <c r="F894">
        <v>10522</v>
      </c>
      <c r="G894">
        <v>10</v>
      </c>
      <c r="H894" t="s">
        <v>33</v>
      </c>
      <c r="I894" t="s">
        <v>31</v>
      </c>
      <c r="J894">
        <v>3</v>
      </c>
      <c r="K894">
        <v>2</v>
      </c>
      <c r="L894" t="s">
        <v>27</v>
      </c>
      <c r="M894">
        <v>2</v>
      </c>
      <c r="N894">
        <v>7</v>
      </c>
      <c r="O894">
        <v>1</v>
      </c>
      <c r="P894">
        <v>3</v>
      </c>
      <c r="Q894" t="s">
        <v>27</v>
      </c>
    </row>
    <row r="895" spans="1:17" x14ac:dyDescent="0.3">
      <c r="A895" t="s">
        <v>940</v>
      </c>
      <c r="B895">
        <v>26</v>
      </c>
      <c r="C895" t="s">
        <v>35</v>
      </c>
      <c r="D895" t="s">
        <v>19</v>
      </c>
      <c r="E895" t="s">
        <v>36</v>
      </c>
      <c r="F895">
        <v>4796</v>
      </c>
      <c r="G895">
        <v>0</v>
      </c>
      <c r="H895" t="s">
        <v>21</v>
      </c>
      <c r="I895" t="s">
        <v>56</v>
      </c>
      <c r="J895">
        <v>3</v>
      </c>
      <c r="K895">
        <v>2</v>
      </c>
      <c r="L895" t="s">
        <v>27</v>
      </c>
      <c r="M895">
        <v>3</v>
      </c>
      <c r="N895">
        <v>10</v>
      </c>
      <c r="O895">
        <v>4</v>
      </c>
      <c r="P895">
        <v>1</v>
      </c>
      <c r="Q895" t="s">
        <v>27</v>
      </c>
    </row>
    <row r="896" spans="1:17" x14ac:dyDescent="0.3">
      <c r="A896" t="s">
        <v>941</v>
      </c>
      <c r="B896">
        <v>51</v>
      </c>
      <c r="C896" t="s">
        <v>35</v>
      </c>
      <c r="D896" t="s">
        <v>70</v>
      </c>
      <c r="E896" t="s">
        <v>71</v>
      </c>
      <c r="F896">
        <v>5814</v>
      </c>
      <c r="G896">
        <v>0</v>
      </c>
      <c r="H896" t="s">
        <v>21</v>
      </c>
      <c r="I896" t="s">
        <v>22</v>
      </c>
      <c r="J896">
        <v>1</v>
      </c>
      <c r="K896">
        <v>4</v>
      </c>
      <c r="L896" t="s">
        <v>23</v>
      </c>
      <c r="M896">
        <v>3</v>
      </c>
      <c r="N896">
        <v>17</v>
      </c>
      <c r="O896">
        <v>4</v>
      </c>
      <c r="P896">
        <v>3</v>
      </c>
      <c r="Q896" t="s">
        <v>23</v>
      </c>
    </row>
    <row r="897" spans="1:17" x14ac:dyDescent="0.3">
      <c r="A897" t="s">
        <v>942</v>
      </c>
      <c r="B897">
        <v>38</v>
      </c>
      <c r="C897" t="s">
        <v>18</v>
      </c>
      <c r="D897" t="s">
        <v>19</v>
      </c>
      <c r="E897" t="s">
        <v>40</v>
      </c>
      <c r="F897">
        <v>9117</v>
      </c>
      <c r="G897">
        <v>4</v>
      </c>
      <c r="H897" t="s">
        <v>46</v>
      </c>
      <c r="I897" t="s">
        <v>31</v>
      </c>
      <c r="J897">
        <v>2</v>
      </c>
      <c r="K897">
        <v>1</v>
      </c>
      <c r="L897" t="s">
        <v>27</v>
      </c>
      <c r="M897">
        <v>3</v>
      </c>
      <c r="N897">
        <v>14</v>
      </c>
      <c r="O897">
        <v>4</v>
      </c>
      <c r="P897">
        <v>4</v>
      </c>
      <c r="Q897" t="s">
        <v>27</v>
      </c>
    </row>
    <row r="898" spans="1:17" x14ac:dyDescent="0.3">
      <c r="A898" t="s">
        <v>943</v>
      </c>
      <c r="B898">
        <v>32</v>
      </c>
      <c r="C898" t="s">
        <v>18</v>
      </c>
      <c r="D898" t="s">
        <v>19</v>
      </c>
      <c r="E898" t="s">
        <v>40</v>
      </c>
      <c r="F898">
        <v>7216</v>
      </c>
      <c r="G898">
        <v>4</v>
      </c>
      <c r="H898" t="s">
        <v>37</v>
      </c>
      <c r="I898" t="s">
        <v>31</v>
      </c>
      <c r="J898">
        <v>1</v>
      </c>
      <c r="K898">
        <v>2</v>
      </c>
      <c r="L898" t="s">
        <v>23</v>
      </c>
      <c r="M898">
        <v>3</v>
      </c>
      <c r="N898">
        <v>26</v>
      </c>
      <c r="O898">
        <v>6</v>
      </c>
      <c r="P898">
        <v>3</v>
      </c>
      <c r="Q898" t="s">
        <v>27</v>
      </c>
    </row>
    <row r="899" spans="1:17" x14ac:dyDescent="0.3">
      <c r="A899" t="s">
        <v>944</v>
      </c>
      <c r="B899">
        <v>44</v>
      </c>
      <c r="C899" t="s">
        <v>35</v>
      </c>
      <c r="D899" t="s">
        <v>29</v>
      </c>
      <c r="E899" t="s">
        <v>30</v>
      </c>
      <c r="F899">
        <v>11457</v>
      </c>
      <c r="G899">
        <v>12</v>
      </c>
      <c r="H899" t="s">
        <v>46</v>
      </c>
      <c r="I899" t="s">
        <v>56</v>
      </c>
      <c r="J899">
        <v>3</v>
      </c>
      <c r="K899">
        <v>1</v>
      </c>
      <c r="L899" t="s">
        <v>27</v>
      </c>
      <c r="M899">
        <v>1</v>
      </c>
      <c r="N899">
        <v>5</v>
      </c>
      <c r="O899">
        <v>6</v>
      </c>
      <c r="P899">
        <v>1</v>
      </c>
      <c r="Q899" t="s">
        <v>27</v>
      </c>
    </row>
    <row r="900" spans="1:17" x14ac:dyDescent="0.3">
      <c r="A900" t="s">
        <v>945</v>
      </c>
      <c r="B900">
        <v>33</v>
      </c>
      <c r="C900" t="s">
        <v>35</v>
      </c>
      <c r="D900" t="s">
        <v>74</v>
      </c>
      <c r="E900" t="s">
        <v>20</v>
      </c>
      <c r="F900">
        <v>18565</v>
      </c>
      <c r="G900">
        <v>12</v>
      </c>
      <c r="H900" t="s">
        <v>21</v>
      </c>
      <c r="I900" t="s">
        <v>56</v>
      </c>
      <c r="J900">
        <v>3</v>
      </c>
      <c r="K900">
        <v>4</v>
      </c>
      <c r="L900" t="s">
        <v>27</v>
      </c>
      <c r="M900">
        <v>2</v>
      </c>
      <c r="N900">
        <v>5</v>
      </c>
      <c r="O900">
        <v>3</v>
      </c>
      <c r="P900">
        <v>1</v>
      </c>
      <c r="Q900" t="s">
        <v>23</v>
      </c>
    </row>
    <row r="901" spans="1:17" x14ac:dyDescent="0.3">
      <c r="A901" t="s">
        <v>946</v>
      </c>
      <c r="B901">
        <v>26</v>
      </c>
      <c r="C901" t="s">
        <v>35</v>
      </c>
      <c r="D901" t="s">
        <v>44</v>
      </c>
      <c r="E901" t="s">
        <v>54</v>
      </c>
      <c r="F901">
        <v>9930</v>
      </c>
      <c r="G901">
        <v>4</v>
      </c>
      <c r="H901" t="s">
        <v>37</v>
      </c>
      <c r="I901" t="s">
        <v>22</v>
      </c>
      <c r="J901">
        <v>3</v>
      </c>
      <c r="K901">
        <v>3</v>
      </c>
      <c r="L901" t="s">
        <v>27</v>
      </c>
      <c r="M901">
        <v>3</v>
      </c>
      <c r="N901">
        <v>14</v>
      </c>
      <c r="O901">
        <v>1</v>
      </c>
      <c r="P901">
        <v>2</v>
      </c>
      <c r="Q901" t="s">
        <v>27</v>
      </c>
    </row>
    <row r="902" spans="1:17" x14ac:dyDescent="0.3">
      <c r="A902" t="s">
        <v>947</v>
      </c>
      <c r="B902">
        <v>31</v>
      </c>
      <c r="C902" t="s">
        <v>35</v>
      </c>
      <c r="D902" t="s">
        <v>25</v>
      </c>
      <c r="E902" t="s">
        <v>26</v>
      </c>
      <c r="F902">
        <v>6126</v>
      </c>
      <c r="G902">
        <v>2</v>
      </c>
      <c r="H902" t="s">
        <v>37</v>
      </c>
      <c r="I902" t="s">
        <v>22</v>
      </c>
      <c r="J902">
        <v>4</v>
      </c>
      <c r="K902">
        <v>4</v>
      </c>
      <c r="L902" t="s">
        <v>27</v>
      </c>
      <c r="M902">
        <v>3</v>
      </c>
      <c r="N902">
        <v>25</v>
      </c>
      <c r="O902">
        <v>5</v>
      </c>
      <c r="P902">
        <v>1</v>
      </c>
      <c r="Q902" t="s">
        <v>27</v>
      </c>
    </row>
    <row r="903" spans="1:17" x14ac:dyDescent="0.3">
      <c r="A903" t="s">
        <v>948</v>
      </c>
      <c r="B903">
        <v>46</v>
      </c>
      <c r="C903" t="s">
        <v>18</v>
      </c>
      <c r="D903" t="s">
        <v>25</v>
      </c>
      <c r="E903" t="s">
        <v>26</v>
      </c>
      <c r="F903">
        <v>10400</v>
      </c>
      <c r="G903">
        <v>3</v>
      </c>
      <c r="H903" t="s">
        <v>21</v>
      </c>
      <c r="I903" t="s">
        <v>31</v>
      </c>
      <c r="J903">
        <v>2</v>
      </c>
      <c r="K903">
        <v>4</v>
      </c>
      <c r="L903" t="s">
        <v>23</v>
      </c>
      <c r="M903">
        <v>4</v>
      </c>
      <c r="N903">
        <v>16</v>
      </c>
      <c r="O903">
        <v>5</v>
      </c>
      <c r="P903">
        <v>4</v>
      </c>
      <c r="Q903" t="s">
        <v>27</v>
      </c>
    </row>
    <row r="904" spans="1:17" x14ac:dyDescent="0.3">
      <c r="A904" t="s">
        <v>949</v>
      </c>
      <c r="B904">
        <v>24</v>
      </c>
      <c r="C904" t="s">
        <v>18</v>
      </c>
      <c r="D904" t="s">
        <v>25</v>
      </c>
      <c r="E904" t="s">
        <v>61</v>
      </c>
      <c r="F904">
        <v>8498</v>
      </c>
      <c r="G904">
        <v>2</v>
      </c>
      <c r="H904" t="s">
        <v>33</v>
      </c>
      <c r="I904" t="s">
        <v>31</v>
      </c>
      <c r="J904">
        <v>2</v>
      </c>
      <c r="K904">
        <v>4</v>
      </c>
      <c r="L904" t="s">
        <v>27</v>
      </c>
      <c r="M904">
        <v>3</v>
      </c>
      <c r="N904">
        <v>22</v>
      </c>
      <c r="O904">
        <v>5</v>
      </c>
      <c r="P904">
        <v>4</v>
      </c>
      <c r="Q904" t="s">
        <v>27</v>
      </c>
    </row>
    <row r="905" spans="1:17" x14ac:dyDescent="0.3">
      <c r="A905" t="s">
        <v>950</v>
      </c>
      <c r="B905">
        <v>31</v>
      </c>
      <c r="C905" t="s">
        <v>35</v>
      </c>
      <c r="D905" t="s">
        <v>19</v>
      </c>
      <c r="E905" t="s">
        <v>40</v>
      </c>
      <c r="F905">
        <v>9456</v>
      </c>
      <c r="G905">
        <v>0</v>
      </c>
      <c r="H905" t="s">
        <v>33</v>
      </c>
      <c r="I905" t="s">
        <v>22</v>
      </c>
      <c r="J905">
        <v>2</v>
      </c>
      <c r="K905">
        <v>2</v>
      </c>
      <c r="L905" t="s">
        <v>27</v>
      </c>
      <c r="M905">
        <v>3</v>
      </c>
      <c r="N905">
        <v>22</v>
      </c>
      <c r="O905">
        <v>5</v>
      </c>
      <c r="P905">
        <v>2</v>
      </c>
      <c r="Q905" t="s">
        <v>23</v>
      </c>
    </row>
    <row r="906" spans="1:17" x14ac:dyDescent="0.3">
      <c r="A906" t="s">
        <v>951</v>
      </c>
      <c r="B906">
        <v>37</v>
      </c>
      <c r="C906" t="s">
        <v>18</v>
      </c>
      <c r="D906" t="s">
        <v>25</v>
      </c>
      <c r="E906" t="s">
        <v>20</v>
      </c>
      <c r="F906">
        <v>19419</v>
      </c>
      <c r="G906">
        <v>14</v>
      </c>
      <c r="H906" t="s">
        <v>37</v>
      </c>
      <c r="I906" t="s">
        <v>31</v>
      </c>
      <c r="J906">
        <v>4</v>
      </c>
      <c r="K906">
        <v>3</v>
      </c>
      <c r="L906" t="s">
        <v>23</v>
      </c>
      <c r="M906">
        <v>3</v>
      </c>
      <c r="N906">
        <v>20</v>
      </c>
      <c r="O906">
        <v>5</v>
      </c>
      <c r="P906">
        <v>4</v>
      </c>
      <c r="Q906" t="s">
        <v>27</v>
      </c>
    </row>
    <row r="907" spans="1:17" x14ac:dyDescent="0.3">
      <c r="A907" t="s">
        <v>952</v>
      </c>
      <c r="B907">
        <v>32</v>
      </c>
      <c r="C907" t="s">
        <v>35</v>
      </c>
      <c r="D907" t="s">
        <v>19</v>
      </c>
      <c r="E907" t="s">
        <v>40</v>
      </c>
      <c r="F907">
        <v>9955</v>
      </c>
      <c r="G907">
        <v>4</v>
      </c>
      <c r="H907" t="s">
        <v>33</v>
      </c>
      <c r="I907" t="s">
        <v>22</v>
      </c>
      <c r="J907">
        <v>4</v>
      </c>
      <c r="K907">
        <v>2</v>
      </c>
      <c r="L907" t="s">
        <v>23</v>
      </c>
      <c r="M907">
        <v>4</v>
      </c>
      <c r="N907">
        <v>15</v>
      </c>
      <c r="O907">
        <v>0</v>
      </c>
      <c r="P907">
        <v>3</v>
      </c>
      <c r="Q907" t="s">
        <v>27</v>
      </c>
    </row>
    <row r="908" spans="1:17" x14ac:dyDescent="0.3">
      <c r="A908" t="s">
        <v>953</v>
      </c>
      <c r="B908">
        <v>31</v>
      </c>
      <c r="C908" t="s">
        <v>18</v>
      </c>
      <c r="D908" t="s">
        <v>19</v>
      </c>
      <c r="E908" t="s">
        <v>40</v>
      </c>
      <c r="F908">
        <v>9063</v>
      </c>
      <c r="G908">
        <v>13</v>
      </c>
      <c r="H908" t="s">
        <v>21</v>
      </c>
      <c r="I908" t="s">
        <v>31</v>
      </c>
      <c r="J908">
        <v>3</v>
      </c>
      <c r="K908">
        <v>4</v>
      </c>
      <c r="L908" t="s">
        <v>27</v>
      </c>
      <c r="M908">
        <v>3</v>
      </c>
      <c r="N908">
        <v>5</v>
      </c>
      <c r="O908">
        <v>4</v>
      </c>
      <c r="P908">
        <v>2</v>
      </c>
      <c r="Q908" t="s">
        <v>27</v>
      </c>
    </row>
    <row r="909" spans="1:17" x14ac:dyDescent="0.3">
      <c r="A909" t="s">
        <v>954</v>
      </c>
      <c r="B909">
        <v>33</v>
      </c>
      <c r="C909" t="s">
        <v>18</v>
      </c>
      <c r="D909" t="s">
        <v>19</v>
      </c>
      <c r="E909" t="s">
        <v>40</v>
      </c>
      <c r="F909">
        <v>7620</v>
      </c>
      <c r="G909">
        <v>3</v>
      </c>
      <c r="H909" t="s">
        <v>46</v>
      </c>
      <c r="I909" t="s">
        <v>22</v>
      </c>
      <c r="J909">
        <v>3</v>
      </c>
      <c r="K909">
        <v>3</v>
      </c>
      <c r="L909" t="s">
        <v>27</v>
      </c>
      <c r="M909">
        <v>4</v>
      </c>
      <c r="N909">
        <v>21</v>
      </c>
      <c r="O909">
        <v>1</v>
      </c>
      <c r="P909">
        <v>2</v>
      </c>
      <c r="Q909" t="s">
        <v>27</v>
      </c>
    </row>
    <row r="910" spans="1:17" x14ac:dyDescent="0.3">
      <c r="A910" t="s">
        <v>955</v>
      </c>
      <c r="B910">
        <v>30</v>
      </c>
      <c r="C910" t="s">
        <v>35</v>
      </c>
      <c r="D910" t="s">
        <v>70</v>
      </c>
      <c r="E910" t="s">
        <v>144</v>
      </c>
      <c r="F910">
        <v>6754</v>
      </c>
      <c r="G910">
        <v>0</v>
      </c>
      <c r="H910" t="s">
        <v>21</v>
      </c>
      <c r="I910" t="s">
        <v>22</v>
      </c>
      <c r="J910">
        <v>3</v>
      </c>
      <c r="K910">
        <v>2</v>
      </c>
      <c r="L910" t="s">
        <v>23</v>
      </c>
      <c r="M910">
        <v>2</v>
      </c>
      <c r="N910">
        <v>19</v>
      </c>
      <c r="O910">
        <v>3</v>
      </c>
      <c r="P910">
        <v>1</v>
      </c>
      <c r="Q910" t="s">
        <v>27</v>
      </c>
    </row>
    <row r="911" spans="1:17" x14ac:dyDescent="0.3">
      <c r="A911" t="s">
        <v>956</v>
      </c>
      <c r="B911">
        <v>27</v>
      </c>
      <c r="C911" t="s">
        <v>35</v>
      </c>
      <c r="D911" t="s">
        <v>44</v>
      </c>
      <c r="E911" t="s">
        <v>45</v>
      </c>
      <c r="F911">
        <v>7095</v>
      </c>
      <c r="G911">
        <v>0</v>
      </c>
      <c r="H911" t="s">
        <v>37</v>
      </c>
      <c r="I911" t="s">
        <v>31</v>
      </c>
      <c r="J911">
        <v>4</v>
      </c>
      <c r="K911">
        <v>1</v>
      </c>
      <c r="L911" t="s">
        <v>27</v>
      </c>
      <c r="M911">
        <v>4</v>
      </c>
      <c r="N911">
        <v>19</v>
      </c>
      <c r="O911">
        <v>5</v>
      </c>
      <c r="P911">
        <v>1</v>
      </c>
      <c r="Q911" t="s">
        <v>27</v>
      </c>
    </row>
    <row r="912" spans="1:17" x14ac:dyDescent="0.3">
      <c r="A912" t="s">
        <v>957</v>
      </c>
      <c r="B912">
        <v>45</v>
      </c>
      <c r="C912" t="s">
        <v>35</v>
      </c>
      <c r="D912" t="s">
        <v>29</v>
      </c>
      <c r="E912" t="s">
        <v>30</v>
      </c>
      <c r="F912">
        <v>7183</v>
      </c>
      <c r="G912">
        <v>2</v>
      </c>
      <c r="H912" t="s">
        <v>37</v>
      </c>
      <c r="I912" t="s">
        <v>31</v>
      </c>
      <c r="J912">
        <v>4</v>
      </c>
      <c r="K912">
        <v>4</v>
      </c>
      <c r="L912" t="s">
        <v>27</v>
      </c>
      <c r="M912">
        <v>2</v>
      </c>
      <c r="N912">
        <v>28</v>
      </c>
      <c r="O912">
        <v>6</v>
      </c>
      <c r="P912">
        <v>2</v>
      </c>
      <c r="Q912" t="s">
        <v>27</v>
      </c>
    </row>
    <row r="913" spans="1:17" x14ac:dyDescent="0.3">
      <c r="A913" t="s">
        <v>958</v>
      </c>
      <c r="B913">
        <v>34</v>
      </c>
      <c r="C913" t="s">
        <v>35</v>
      </c>
      <c r="D913" t="s">
        <v>44</v>
      </c>
      <c r="E913" t="s">
        <v>54</v>
      </c>
      <c r="F913">
        <v>7573</v>
      </c>
      <c r="G913">
        <v>0</v>
      </c>
      <c r="H913" t="s">
        <v>21</v>
      </c>
      <c r="I913" t="s">
        <v>22</v>
      </c>
      <c r="J913">
        <v>1</v>
      </c>
      <c r="K913">
        <v>3</v>
      </c>
      <c r="L913" t="s">
        <v>27</v>
      </c>
      <c r="M913">
        <v>4</v>
      </c>
      <c r="N913">
        <v>6</v>
      </c>
      <c r="O913">
        <v>0</v>
      </c>
      <c r="P913">
        <v>1</v>
      </c>
      <c r="Q913" t="s">
        <v>27</v>
      </c>
    </row>
    <row r="914" spans="1:17" x14ac:dyDescent="0.3">
      <c r="A914" t="s">
        <v>959</v>
      </c>
      <c r="B914">
        <v>31</v>
      </c>
      <c r="C914" t="s">
        <v>18</v>
      </c>
      <c r="D914" t="s">
        <v>19</v>
      </c>
      <c r="E914" t="s">
        <v>36</v>
      </c>
      <c r="F914">
        <v>10041</v>
      </c>
      <c r="G914">
        <v>8</v>
      </c>
      <c r="H914" t="s">
        <v>37</v>
      </c>
      <c r="I914" t="s">
        <v>31</v>
      </c>
      <c r="J914">
        <v>4</v>
      </c>
      <c r="K914">
        <v>4</v>
      </c>
      <c r="L914" t="s">
        <v>27</v>
      </c>
      <c r="M914">
        <v>3</v>
      </c>
      <c r="N914">
        <v>19</v>
      </c>
      <c r="O914">
        <v>2</v>
      </c>
      <c r="P914">
        <v>1</v>
      </c>
      <c r="Q914" t="s">
        <v>27</v>
      </c>
    </row>
    <row r="915" spans="1:17" x14ac:dyDescent="0.3">
      <c r="A915" t="s">
        <v>960</v>
      </c>
      <c r="B915">
        <v>49</v>
      </c>
      <c r="C915" t="s">
        <v>35</v>
      </c>
      <c r="D915" t="s">
        <v>70</v>
      </c>
      <c r="E915" t="s">
        <v>144</v>
      </c>
      <c r="F915">
        <v>12883</v>
      </c>
      <c r="G915">
        <v>5</v>
      </c>
      <c r="H915" t="s">
        <v>37</v>
      </c>
      <c r="I915" t="s">
        <v>22</v>
      </c>
      <c r="J915">
        <v>3</v>
      </c>
      <c r="K915">
        <v>2</v>
      </c>
      <c r="L915" t="s">
        <v>27</v>
      </c>
      <c r="M915">
        <v>2</v>
      </c>
      <c r="N915">
        <v>19</v>
      </c>
      <c r="O915">
        <v>2</v>
      </c>
      <c r="P915">
        <v>2</v>
      </c>
      <c r="Q915" t="s">
        <v>27</v>
      </c>
    </row>
    <row r="916" spans="1:17" x14ac:dyDescent="0.3">
      <c r="A916" t="s">
        <v>961</v>
      </c>
      <c r="B916">
        <v>21</v>
      </c>
      <c r="C916" t="s">
        <v>35</v>
      </c>
      <c r="D916" t="s">
        <v>29</v>
      </c>
      <c r="E916" t="s">
        <v>49</v>
      </c>
      <c r="F916">
        <v>3567</v>
      </c>
      <c r="G916">
        <v>0</v>
      </c>
      <c r="H916" t="s">
        <v>33</v>
      </c>
      <c r="I916" t="s">
        <v>31</v>
      </c>
      <c r="J916">
        <v>4</v>
      </c>
      <c r="K916">
        <v>3</v>
      </c>
      <c r="L916" t="s">
        <v>27</v>
      </c>
      <c r="M916">
        <v>3</v>
      </c>
      <c r="N916">
        <v>18</v>
      </c>
      <c r="O916">
        <v>4</v>
      </c>
      <c r="P916">
        <v>1</v>
      </c>
      <c r="Q916" t="s">
        <v>27</v>
      </c>
    </row>
    <row r="917" spans="1:17" x14ac:dyDescent="0.3">
      <c r="A917" t="s">
        <v>962</v>
      </c>
      <c r="B917">
        <v>49</v>
      </c>
      <c r="C917" t="s">
        <v>35</v>
      </c>
      <c r="D917" t="s">
        <v>19</v>
      </c>
      <c r="E917" t="s">
        <v>36</v>
      </c>
      <c r="F917">
        <v>4374</v>
      </c>
      <c r="G917">
        <v>3</v>
      </c>
      <c r="H917" t="s">
        <v>37</v>
      </c>
      <c r="I917" t="s">
        <v>22</v>
      </c>
      <c r="J917">
        <v>2</v>
      </c>
      <c r="K917">
        <v>3</v>
      </c>
      <c r="L917" t="s">
        <v>27</v>
      </c>
      <c r="M917">
        <v>2</v>
      </c>
      <c r="N917">
        <v>21</v>
      </c>
      <c r="O917">
        <v>3</v>
      </c>
      <c r="P917">
        <v>1</v>
      </c>
      <c r="Q917" t="s">
        <v>27</v>
      </c>
    </row>
    <row r="918" spans="1:17" x14ac:dyDescent="0.3">
      <c r="A918" t="s">
        <v>963</v>
      </c>
      <c r="B918">
        <v>25</v>
      </c>
      <c r="C918" t="s">
        <v>18</v>
      </c>
      <c r="D918" t="s">
        <v>19</v>
      </c>
      <c r="E918" t="s">
        <v>20</v>
      </c>
      <c r="F918">
        <v>9382</v>
      </c>
      <c r="G918">
        <v>0</v>
      </c>
      <c r="H918" t="s">
        <v>46</v>
      </c>
      <c r="I918" t="s">
        <v>31</v>
      </c>
      <c r="J918">
        <v>4</v>
      </c>
      <c r="K918">
        <v>3</v>
      </c>
      <c r="L918" t="s">
        <v>23</v>
      </c>
      <c r="M918">
        <v>3</v>
      </c>
      <c r="N918">
        <v>9</v>
      </c>
      <c r="O918">
        <v>1</v>
      </c>
      <c r="P918">
        <v>4</v>
      </c>
      <c r="Q918" t="s">
        <v>27</v>
      </c>
    </row>
    <row r="919" spans="1:17" x14ac:dyDescent="0.3">
      <c r="A919" t="s">
        <v>964</v>
      </c>
      <c r="B919">
        <v>53</v>
      </c>
      <c r="C919" t="s">
        <v>35</v>
      </c>
      <c r="D919" t="s">
        <v>19</v>
      </c>
      <c r="E919" t="s">
        <v>36</v>
      </c>
      <c r="F919">
        <v>7520</v>
      </c>
      <c r="G919">
        <v>7</v>
      </c>
      <c r="H919" t="s">
        <v>33</v>
      </c>
      <c r="I919" t="s">
        <v>31</v>
      </c>
      <c r="J919">
        <v>3</v>
      </c>
      <c r="K919">
        <v>4</v>
      </c>
      <c r="L919" t="s">
        <v>27</v>
      </c>
      <c r="M919">
        <v>2</v>
      </c>
      <c r="N919">
        <v>30</v>
      </c>
      <c r="O919">
        <v>1</v>
      </c>
      <c r="P919">
        <v>2</v>
      </c>
      <c r="Q919" t="s">
        <v>27</v>
      </c>
    </row>
    <row r="920" spans="1:17" x14ac:dyDescent="0.3">
      <c r="A920" t="s">
        <v>965</v>
      </c>
      <c r="B920">
        <v>49</v>
      </c>
      <c r="C920" t="s">
        <v>18</v>
      </c>
      <c r="D920" t="s">
        <v>70</v>
      </c>
      <c r="E920" t="s">
        <v>144</v>
      </c>
      <c r="F920">
        <v>4869</v>
      </c>
      <c r="G920">
        <v>2</v>
      </c>
      <c r="H920" t="s">
        <v>21</v>
      </c>
      <c r="I920" t="s">
        <v>31</v>
      </c>
      <c r="J920">
        <v>3</v>
      </c>
      <c r="K920">
        <v>4</v>
      </c>
      <c r="L920" t="s">
        <v>27</v>
      </c>
      <c r="M920">
        <v>3</v>
      </c>
      <c r="N920">
        <v>30</v>
      </c>
      <c r="O920">
        <v>2</v>
      </c>
      <c r="P920">
        <v>1</v>
      </c>
      <c r="Q920" t="s">
        <v>27</v>
      </c>
    </row>
    <row r="921" spans="1:17" x14ac:dyDescent="0.3">
      <c r="A921" t="s">
        <v>966</v>
      </c>
      <c r="B921">
        <v>33</v>
      </c>
      <c r="C921" t="s">
        <v>18</v>
      </c>
      <c r="D921" t="s">
        <v>19</v>
      </c>
      <c r="E921" t="s">
        <v>40</v>
      </c>
      <c r="F921">
        <v>8425</v>
      </c>
      <c r="G921">
        <v>7</v>
      </c>
      <c r="H921" t="s">
        <v>46</v>
      </c>
      <c r="I921" t="s">
        <v>22</v>
      </c>
      <c r="J921">
        <v>3</v>
      </c>
      <c r="K921">
        <v>2</v>
      </c>
      <c r="L921" t="s">
        <v>27</v>
      </c>
      <c r="M921">
        <v>1</v>
      </c>
      <c r="N921">
        <v>20</v>
      </c>
      <c r="O921">
        <v>2</v>
      </c>
      <c r="P921">
        <v>4</v>
      </c>
      <c r="Q921" t="s">
        <v>27</v>
      </c>
    </row>
    <row r="922" spans="1:17" x14ac:dyDescent="0.3">
      <c r="A922" t="s">
        <v>967</v>
      </c>
      <c r="B922">
        <v>29</v>
      </c>
      <c r="C922" t="s">
        <v>35</v>
      </c>
      <c r="D922" t="s">
        <v>74</v>
      </c>
      <c r="E922" t="s">
        <v>99</v>
      </c>
      <c r="F922">
        <v>4517</v>
      </c>
      <c r="G922">
        <v>0</v>
      </c>
      <c r="H922" t="s">
        <v>21</v>
      </c>
      <c r="I922" t="s">
        <v>22</v>
      </c>
      <c r="J922">
        <v>3</v>
      </c>
      <c r="K922">
        <v>4</v>
      </c>
      <c r="L922" t="s">
        <v>27</v>
      </c>
      <c r="M922">
        <v>3</v>
      </c>
      <c r="N922">
        <v>21</v>
      </c>
      <c r="O922">
        <v>5</v>
      </c>
      <c r="P922">
        <v>4</v>
      </c>
      <c r="Q922" t="s">
        <v>27</v>
      </c>
    </row>
    <row r="923" spans="1:17" x14ac:dyDescent="0.3">
      <c r="A923" t="s">
        <v>968</v>
      </c>
      <c r="B923">
        <v>34</v>
      </c>
      <c r="C923" t="s">
        <v>35</v>
      </c>
      <c r="D923" t="s">
        <v>25</v>
      </c>
      <c r="E923" t="s">
        <v>61</v>
      </c>
      <c r="F923">
        <v>8696</v>
      </c>
      <c r="G923">
        <v>5</v>
      </c>
      <c r="H923" t="s">
        <v>37</v>
      </c>
      <c r="I923" t="s">
        <v>31</v>
      </c>
      <c r="J923">
        <v>1</v>
      </c>
      <c r="K923">
        <v>2</v>
      </c>
      <c r="L923" t="s">
        <v>23</v>
      </c>
      <c r="M923">
        <v>4</v>
      </c>
      <c r="N923">
        <v>24</v>
      </c>
      <c r="O923">
        <v>2</v>
      </c>
      <c r="P923">
        <v>2</v>
      </c>
      <c r="Q923" t="s">
        <v>27</v>
      </c>
    </row>
    <row r="924" spans="1:17" x14ac:dyDescent="0.3">
      <c r="A924" t="s">
        <v>969</v>
      </c>
      <c r="B924">
        <v>33</v>
      </c>
      <c r="C924" t="s">
        <v>18</v>
      </c>
      <c r="D924" t="s">
        <v>19</v>
      </c>
      <c r="E924" t="s">
        <v>40</v>
      </c>
      <c r="F924">
        <v>8750</v>
      </c>
      <c r="G924">
        <v>4</v>
      </c>
      <c r="H924" t="s">
        <v>46</v>
      </c>
      <c r="I924" t="s">
        <v>22</v>
      </c>
      <c r="J924">
        <v>2</v>
      </c>
      <c r="K924">
        <v>1</v>
      </c>
      <c r="L924" t="s">
        <v>27</v>
      </c>
      <c r="M924">
        <v>3</v>
      </c>
      <c r="N924">
        <v>5</v>
      </c>
      <c r="O924">
        <v>3</v>
      </c>
      <c r="P924">
        <v>3</v>
      </c>
      <c r="Q924" t="s">
        <v>27</v>
      </c>
    </row>
    <row r="925" spans="1:17" x14ac:dyDescent="0.3">
      <c r="A925" t="s">
        <v>970</v>
      </c>
      <c r="B925">
        <v>38</v>
      </c>
      <c r="C925" t="s">
        <v>18</v>
      </c>
      <c r="D925" t="s">
        <v>70</v>
      </c>
      <c r="E925" t="s">
        <v>71</v>
      </c>
      <c r="F925">
        <v>4529</v>
      </c>
      <c r="G925">
        <v>0</v>
      </c>
      <c r="H925" t="s">
        <v>21</v>
      </c>
      <c r="I925" t="s">
        <v>31</v>
      </c>
      <c r="J925">
        <v>4</v>
      </c>
      <c r="K925">
        <v>2</v>
      </c>
      <c r="L925" t="s">
        <v>23</v>
      </c>
      <c r="M925">
        <v>3</v>
      </c>
      <c r="N925">
        <v>21</v>
      </c>
      <c r="O925">
        <v>6</v>
      </c>
      <c r="P925">
        <v>1</v>
      </c>
      <c r="Q925" t="s">
        <v>27</v>
      </c>
    </row>
    <row r="926" spans="1:17" x14ac:dyDescent="0.3">
      <c r="A926" t="s">
        <v>971</v>
      </c>
      <c r="B926">
        <v>28</v>
      </c>
      <c r="C926" t="s">
        <v>35</v>
      </c>
      <c r="D926" t="s">
        <v>70</v>
      </c>
      <c r="E926" t="s">
        <v>144</v>
      </c>
      <c r="F926">
        <v>7094</v>
      </c>
      <c r="G926">
        <v>8</v>
      </c>
      <c r="H926" t="s">
        <v>21</v>
      </c>
      <c r="I926" t="s">
        <v>31</v>
      </c>
      <c r="J926">
        <v>1</v>
      </c>
      <c r="K926">
        <v>1</v>
      </c>
      <c r="L926" t="s">
        <v>27</v>
      </c>
      <c r="M926">
        <v>1</v>
      </c>
      <c r="N926">
        <v>23</v>
      </c>
      <c r="O926">
        <v>3</v>
      </c>
      <c r="P926">
        <v>1</v>
      </c>
      <c r="Q926" t="s">
        <v>27</v>
      </c>
    </row>
    <row r="927" spans="1:17" x14ac:dyDescent="0.3">
      <c r="A927" t="s">
        <v>972</v>
      </c>
      <c r="B927">
        <v>40</v>
      </c>
      <c r="C927" t="s">
        <v>18</v>
      </c>
      <c r="D927" t="s">
        <v>29</v>
      </c>
      <c r="E927" t="s">
        <v>30</v>
      </c>
      <c r="F927">
        <v>8859</v>
      </c>
      <c r="G927">
        <v>4</v>
      </c>
      <c r="H927" t="s">
        <v>21</v>
      </c>
      <c r="I927" t="s">
        <v>22</v>
      </c>
      <c r="J927">
        <v>2</v>
      </c>
      <c r="K927">
        <v>2</v>
      </c>
      <c r="L927" t="s">
        <v>23</v>
      </c>
      <c r="M927">
        <v>3</v>
      </c>
      <c r="N927">
        <v>3</v>
      </c>
      <c r="O927">
        <v>2</v>
      </c>
      <c r="P927">
        <v>4</v>
      </c>
      <c r="Q927" t="s">
        <v>27</v>
      </c>
    </row>
    <row r="928" spans="1:17" x14ac:dyDescent="0.3">
      <c r="A928" t="s">
        <v>973</v>
      </c>
      <c r="B928">
        <v>20</v>
      </c>
      <c r="C928" t="s">
        <v>18</v>
      </c>
      <c r="D928" t="s">
        <v>70</v>
      </c>
      <c r="E928" t="s">
        <v>71</v>
      </c>
      <c r="F928">
        <v>8384</v>
      </c>
      <c r="G928">
        <v>0</v>
      </c>
      <c r="H928" t="s">
        <v>21</v>
      </c>
      <c r="I928" t="s">
        <v>22</v>
      </c>
      <c r="J928">
        <v>3</v>
      </c>
      <c r="K928">
        <v>4</v>
      </c>
      <c r="L928" t="s">
        <v>27</v>
      </c>
      <c r="M928">
        <v>2</v>
      </c>
      <c r="N928">
        <v>5</v>
      </c>
      <c r="O928">
        <v>0</v>
      </c>
      <c r="P928">
        <v>3</v>
      </c>
      <c r="Q928" t="s">
        <v>27</v>
      </c>
    </row>
    <row r="929" spans="1:17" x14ac:dyDescent="0.3">
      <c r="A929" t="s">
        <v>974</v>
      </c>
      <c r="B929">
        <v>50</v>
      </c>
      <c r="C929" t="s">
        <v>18</v>
      </c>
      <c r="D929" t="s">
        <v>70</v>
      </c>
      <c r="E929" t="s">
        <v>144</v>
      </c>
      <c r="F929">
        <v>7690</v>
      </c>
      <c r="G929">
        <v>1</v>
      </c>
      <c r="H929" t="s">
        <v>37</v>
      </c>
      <c r="I929" t="s">
        <v>31</v>
      </c>
      <c r="J929">
        <v>3</v>
      </c>
      <c r="K929">
        <v>2</v>
      </c>
      <c r="L929" t="s">
        <v>27</v>
      </c>
      <c r="M929">
        <v>2</v>
      </c>
      <c r="N929">
        <v>18</v>
      </c>
      <c r="O929">
        <v>1</v>
      </c>
      <c r="P929">
        <v>2</v>
      </c>
      <c r="Q929" t="s">
        <v>23</v>
      </c>
    </row>
    <row r="930" spans="1:17" x14ac:dyDescent="0.3">
      <c r="A930" t="s">
        <v>975</v>
      </c>
      <c r="B930">
        <v>53</v>
      </c>
      <c r="C930" t="s">
        <v>18</v>
      </c>
      <c r="D930" t="s">
        <v>74</v>
      </c>
      <c r="E930" t="s">
        <v>99</v>
      </c>
      <c r="F930">
        <v>5505</v>
      </c>
      <c r="G930">
        <v>2</v>
      </c>
      <c r="H930" t="s">
        <v>37</v>
      </c>
      <c r="I930" t="s">
        <v>22</v>
      </c>
      <c r="J930">
        <v>4</v>
      </c>
      <c r="K930">
        <v>2</v>
      </c>
      <c r="L930" t="s">
        <v>27</v>
      </c>
      <c r="M930">
        <v>3</v>
      </c>
      <c r="N930">
        <v>17</v>
      </c>
      <c r="O930">
        <v>0</v>
      </c>
      <c r="P930">
        <v>4</v>
      </c>
      <c r="Q930" t="s">
        <v>27</v>
      </c>
    </row>
    <row r="931" spans="1:17" x14ac:dyDescent="0.3">
      <c r="A931" t="s">
        <v>976</v>
      </c>
      <c r="B931">
        <v>44</v>
      </c>
      <c r="C931" t="s">
        <v>18</v>
      </c>
      <c r="D931" t="s">
        <v>25</v>
      </c>
      <c r="E931" t="s">
        <v>61</v>
      </c>
      <c r="F931">
        <v>8457</v>
      </c>
      <c r="G931">
        <v>4</v>
      </c>
      <c r="H931" t="s">
        <v>46</v>
      </c>
      <c r="I931" t="s">
        <v>22</v>
      </c>
      <c r="J931">
        <v>4</v>
      </c>
      <c r="K931">
        <v>1</v>
      </c>
      <c r="L931" t="s">
        <v>27</v>
      </c>
      <c r="M931">
        <v>3</v>
      </c>
      <c r="N931">
        <v>9</v>
      </c>
      <c r="O931">
        <v>3</v>
      </c>
      <c r="P931">
        <v>4</v>
      </c>
      <c r="Q931" t="s">
        <v>27</v>
      </c>
    </row>
    <row r="932" spans="1:17" x14ac:dyDescent="0.3">
      <c r="A932" t="s">
        <v>977</v>
      </c>
      <c r="B932">
        <v>32</v>
      </c>
      <c r="C932" t="s">
        <v>35</v>
      </c>
      <c r="D932" t="s">
        <v>29</v>
      </c>
      <c r="E932" t="s">
        <v>30</v>
      </c>
      <c r="F932">
        <v>6178</v>
      </c>
      <c r="G932">
        <v>1</v>
      </c>
      <c r="H932" t="s">
        <v>37</v>
      </c>
      <c r="I932" t="s">
        <v>31</v>
      </c>
      <c r="J932">
        <v>4</v>
      </c>
      <c r="K932">
        <v>1</v>
      </c>
      <c r="L932" t="s">
        <v>23</v>
      </c>
      <c r="M932">
        <v>2</v>
      </c>
      <c r="N932">
        <v>5</v>
      </c>
      <c r="O932">
        <v>5</v>
      </c>
      <c r="P932">
        <v>2</v>
      </c>
      <c r="Q932" t="s">
        <v>27</v>
      </c>
    </row>
    <row r="933" spans="1:17" x14ac:dyDescent="0.3">
      <c r="A933" t="s">
        <v>978</v>
      </c>
      <c r="B933">
        <v>28</v>
      </c>
      <c r="C933" t="s">
        <v>35</v>
      </c>
      <c r="D933" t="s">
        <v>29</v>
      </c>
      <c r="E933" t="s">
        <v>20</v>
      </c>
      <c r="F933">
        <v>10113</v>
      </c>
      <c r="G933">
        <v>0</v>
      </c>
      <c r="H933" t="s">
        <v>37</v>
      </c>
      <c r="I933" t="s">
        <v>31</v>
      </c>
      <c r="J933">
        <v>1</v>
      </c>
      <c r="K933">
        <v>3</v>
      </c>
      <c r="L933" t="s">
        <v>27</v>
      </c>
      <c r="M933">
        <v>2</v>
      </c>
      <c r="N933">
        <v>13</v>
      </c>
      <c r="O933">
        <v>1</v>
      </c>
      <c r="P933">
        <v>4</v>
      </c>
      <c r="Q933" t="s">
        <v>23</v>
      </c>
    </row>
    <row r="934" spans="1:17" x14ac:dyDescent="0.3">
      <c r="A934" t="s">
        <v>979</v>
      </c>
      <c r="B934">
        <v>45</v>
      </c>
      <c r="C934" t="s">
        <v>35</v>
      </c>
      <c r="D934" t="s">
        <v>19</v>
      </c>
      <c r="E934" t="s">
        <v>40</v>
      </c>
      <c r="F934">
        <v>7294</v>
      </c>
      <c r="G934">
        <v>1</v>
      </c>
      <c r="H934" t="s">
        <v>21</v>
      </c>
      <c r="I934" t="s">
        <v>22</v>
      </c>
      <c r="J934">
        <v>2</v>
      </c>
      <c r="K934">
        <v>3</v>
      </c>
      <c r="L934" t="s">
        <v>27</v>
      </c>
      <c r="M934">
        <v>3</v>
      </c>
      <c r="N934">
        <v>29</v>
      </c>
      <c r="O934">
        <v>5</v>
      </c>
      <c r="P934">
        <v>4</v>
      </c>
      <c r="Q934" t="s">
        <v>23</v>
      </c>
    </row>
    <row r="935" spans="1:17" x14ac:dyDescent="0.3">
      <c r="A935" t="s">
        <v>980</v>
      </c>
      <c r="B935">
        <v>35</v>
      </c>
      <c r="C935" t="s">
        <v>35</v>
      </c>
      <c r="D935" t="s">
        <v>25</v>
      </c>
      <c r="E935" t="s">
        <v>26</v>
      </c>
      <c r="F935">
        <v>4968</v>
      </c>
      <c r="G935">
        <v>0</v>
      </c>
      <c r="H935" t="s">
        <v>37</v>
      </c>
      <c r="I935" t="s">
        <v>31</v>
      </c>
      <c r="J935">
        <v>2</v>
      </c>
      <c r="K935">
        <v>2</v>
      </c>
      <c r="L935" t="s">
        <v>27</v>
      </c>
      <c r="M935">
        <v>3</v>
      </c>
      <c r="N935">
        <v>14</v>
      </c>
      <c r="O935">
        <v>4</v>
      </c>
      <c r="P935">
        <v>1</v>
      </c>
      <c r="Q935" t="s">
        <v>27</v>
      </c>
    </row>
    <row r="936" spans="1:17" x14ac:dyDescent="0.3">
      <c r="A936" t="s">
        <v>981</v>
      </c>
      <c r="B936">
        <v>42</v>
      </c>
      <c r="C936" t="s">
        <v>35</v>
      </c>
      <c r="D936" t="s">
        <v>44</v>
      </c>
      <c r="E936" t="s">
        <v>45</v>
      </c>
      <c r="F936">
        <v>7618</v>
      </c>
      <c r="G936">
        <v>4</v>
      </c>
      <c r="H936" t="s">
        <v>21</v>
      </c>
      <c r="I936" t="s">
        <v>22</v>
      </c>
      <c r="J936">
        <v>3</v>
      </c>
      <c r="K936">
        <v>2</v>
      </c>
      <c r="L936" t="s">
        <v>23</v>
      </c>
      <c r="M936">
        <v>3</v>
      </c>
      <c r="N936">
        <v>22</v>
      </c>
      <c r="O936">
        <v>3</v>
      </c>
      <c r="P936">
        <v>2</v>
      </c>
      <c r="Q936" t="s">
        <v>27</v>
      </c>
    </row>
    <row r="937" spans="1:17" x14ac:dyDescent="0.3">
      <c r="A937" t="s">
        <v>982</v>
      </c>
      <c r="B937">
        <v>21</v>
      </c>
      <c r="C937" t="s">
        <v>18</v>
      </c>
      <c r="D937" t="s">
        <v>19</v>
      </c>
      <c r="E937" t="s">
        <v>40</v>
      </c>
      <c r="F937">
        <v>6460</v>
      </c>
      <c r="G937">
        <v>3</v>
      </c>
      <c r="H937" t="s">
        <v>37</v>
      </c>
      <c r="I937" t="s">
        <v>22</v>
      </c>
      <c r="J937">
        <v>4</v>
      </c>
      <c r="K937">
        <v>3</v>
      </c>
      <c r="L937" t="s">
        <v>27</v>
      </c>
      <c r="M937">
        <v>1</v>
      </c>
      <c r="N937">
        <v>30</v>
      </c>
      <c r="O937">
        <v>1</v>
      </c>
      <c r="P937">
        <v>3</v>
      </c>
      <c r="Q937" t="s">
        <v>27</v>
      </c>
    </row>
    <row r="938" spans="1:17" x14ac:dyDescent="0.3">
      <c r="A938" t="s">
        <v>983</v>
      </c>
      <c r="B938">
        <v>42</v>
      </c>
      <c r="C938" t="s">
        <v>18</v>
      </c>
      <c r="D938" t="s">
        <v>70</v>
      </c>
      <c r="E938" t="s">
        <v>71</v>
      </c>
      <c r="F938">
        <v>4888</v>
      </c>
      <c r="G938">
        <v>2</v>
      </c>
      <c r="H938" t="s">
        <v>21</v>
      </c>
      <c r="I938" t="s">
        <v>31</v>
      </c>
      <c r="J938">
        <v>1</v>
      </c>
      <c r="K938">
        <v>2</v>
      </c>
      <c r="L938" t="s">
        <v>27</v>
      </c>
      <c r="M938">
        <v>3</v>
      </c>
      <c r="N938">
        <v>29</v>
      </c>
      <c r="O938">
        <v>0</v>
      </c>
      <c r="P938">
        <v>4</v>
      </c>
      <c r="Q938" t="s">
        <v>27</v>
      </c>
    </row>
    <row r="939" spans="1:17" x14ac:dyDescent="0.3">
      <c r="A939" t="s">
        <v>984</v>
      </c>
      <c r="B939">
        <v>34</v>
      </c>
      <c r="C939" t="s">
        <v>18</v>
      </c>
      <c r="D939" t="s">
        <v>25</v>
      </c>
      <c r="E939" t="s">
        <v>26</v>
      </c>
      <c r="F939">
        <v>8281</v>
      </c>
      <c r="G939">
        <v>6</v>
      </c>
      <c r="H939" t="s">
        <v>21</v>
      </c>
      <c r="I939" t="s">
        <v>56</v>
      </c>
      <c r="J939">
        <v>2</v>
      </c>
      <c r="K939">
        <v>2</v>
      </c>
      <c r="L939" t="s">
        <v>23</v>
      </c>
      <c r="M939">
        <v>3</v>
      </c>
      <c r="N939">
        <v>24</v>
      </c>
      <c r="O939">
        <v>2</v>
      </c>
      <c r="P939">
        <v>4</v>
      </c>
      <c r="Q939" t="s">
        <v>27</v>
      </c>
    </row>
    <row r="940" spans="1:17" x14ac:dyDescent="0.3">
      <c r="A940" t="s">
        <v>985</v>
      </c>
      <c r="B940">
        <v>34</v>
      </c>
      <c r="C940" t="s">
        <v>35</v>
      </c>
      <c r="D940" t="s">
        <v>44</v>
      </c>
      <c r="E940" t="s">
        <v>54</v>
      </c>
      <c r="F940">
        <v>8832</v>
      </c>
      <c r="G940">
        <v>7</v>
      </c>
      <c r="H940" t="s">
        <v>46</v>
      </c>
      <c r="I940" t="s">
        <v>31</v>
      </c>
      <c r="J940">
        <v>1</v>
      </c>
      <c r="K940">
        <v>1</v>
      </c>
      <c r="L940" t="s">
        <v>27</v>
      </c>
      <c r="M940">
        <v>3</v>
      </c>
      <c r="N940">
        <v>8</v>
      </c>
      <c r="O940">
        <v>5</v>
      </c>
      <c r="P940">
        <v>3</v>
      </c>
      <c r="Q940" t="s">
        <v>27</v>
      </c>
    </row>
    <row r="941" spans="1:17" x14ac:dyDescent="0.3">
      <c r="A941" t="s">
        <v>986</v>
      </c>
      <c r="B941">
        <v>40</v>
      </c>
      <c r="C941" t="s">
        <v>35</v>
      </c>
      <c r="D941" t="s">
        <v>74</v>
      </c>
      <c r="E941" t="s">
        <v>99</v>
      </c>
      <c r="F941">
        <v>9954</v>
      </c>
      <c r="G941">
        <v>5</v>
      </c>
      <c r="H941" t="s">
        <v>37</v>
      </c>
      <c r="I941" t="s">
        <v>31</v>
      </c>
      <c r="J941">
        <v>2</v>
      </c>
      <c r="K941">
        <v>2</v>
      </c>
      <c r="L941" t="s">
        <v>27</v>
      </c>
      <c r="M941">
        <v>3</v>
      </c>
      <c r="N941">
        <v>1</v>
      </c>
      <c r="O941">
        <v>4</v>
      </c>
      <c r="P941">
        <v>4</v>
      </c>
      <c r="Q941" t="s">
        <v>27</v>
      </c>
    </row>
    <row r="942" spans="1:17" x14ac:dyDescent="0.3">
      <c r="A942" t="s">
        <v>987</v>
      </c>
      <c r="B942">
        <v>27</v>
      </c>
      <c r="C942" t="s">
        <v>18</v>
      </c>
      <c r="D942" t="s">
        <v>19</v>
      </c>
      <c r="E942" t="s">
        <v>20</v>
      </c>
      <c r="F942">
        <v>9031</v>
      </c>
      <c r="G942">
        <v>0</v>
      </c>
      <c r="H942" t="s">
        <v>37</v>
      </c>
      <c r="I942" t="s">
        <v>31</v>
      </c>
      <c r="J942">
        <v>3</v>
      </c>
      <c r="K942">
        <v>3</v>
      </c>
      <c r="L942" t="s">
        <v>27</v>
      </c>
      <c r="M942">
        <v>3</v>
      </c>
      <c r="N942">
        <v>22</v>
      </c>
      <c r="O942">
        <v>5</v>
      </c>
      <c r="P942">
        <v>2</v>
      </c>
      <c r="Q942" t="s">
        <v>27</v>
      </c>
    </row>
    <row r="943" spans="1:17" x14ac:dyDescent="0.3">
      <c r="A943" t="s">
        <v>988</v>
      </c>
      <c r="B943">
        <v>33</v>
      </c>
      <c r="C943" t="s">
        <v>35</v>
      </c>
      <c r="D943" t="s">
        <v>70</v>
      </c>
      <c r="E943" t="s">
        <v>71</v>
      </c>
      <c r="F943">
        <v>8370</v>
      </c>
      <c r="G943">
        <v>5</v>
      </c>
      <c r="H943" t="s">
        <v>21</v>
      </c>
      <c r="I943" t="s">
        <v>31</v>
      </c>
      <c r="J943">
        <v>3</v>
      </c>
      <c r="K943">
        <v>2</v>
      </c>
      <c r="L943" t="s">
        <v>27</v>
      </c>
      <c r="M943">
        <v>3</v>
      </c>
      <c r="N943">
        <v>2</v>
      </c>
      <c r="O943">
        <v>5</v>
      </c>
      <c r="P943">
        <v>1</v>
      </c>
      <c r="Q943" t="s">
        <v>27</v>
      </c>
    </row>
    <row r="944" spans="1:17" x14ac:dyDescent="0.3">
      <c r="A944" t="s">
        <v>989</v>
      </c>
      <c r="B944">
        <v>27</v>
      </c>
      <c r="C944" t="s">
        <v>35</v>
      </c>
      <c r="D944" t="s">
        <v>25</v>
      </c>
      <c r="E944" t="s">
        <v>61</v>
      </c>
      <c r="F944">
        <v>4777</v>
      </c>
      <c r="G944">
        <v>2</v>
      </c>
      <c r="H944" t="s">
        <v>37</v>
      </c>
      <c r="I944" t="s">
        <v>56</v>
      </c>
      <c r="J944">
        <v>2</v>
      </c>
      <c r="K944">
        <v>1</v>
      </c>
      <c r="L944" t="s">
        <v>27</v>
      </c>
      <c r="M944">
        <v>3</v>
      </c>
      <c r="N944">
        <v>14</v>
      </c>
      <c r="O944">
        <v>4</v>
      </c>
      <c r="P944">
        <v>2</v>
      </c>
      <c r="Q944" t="s">
        <v>27</v>
      </c>
    </row>
    <row r="945" spans="1:17" x14ac:dyDescent="0.3">
      <c r="A945" t="s">
        <v>990</v>
      </c>
      <c r="B945">
        <v>39</v>
      </c>
      <c r="C945" t="s">
        <v>35</v>
      </c>
      <c r="D945" t="s">
        <v>25</v>
      </c>
      <c r="E945" t="s">
        <v>26</v>
      </c>
      <c r="F945">
        <v>9050</v>
      </c>
      <c r="G945">
        <v>0</v>
      </c>
      <c r="H945" t="s">
        <v>37</v>
      </c>
      <c r="I945" t="s">
        <v>31</v>
      </c>
      <c r="J945">
        <v>4</v>
      </c>
      <c r="K945">
        <v>1</v>
      </c>
      <c r="L945" t="s">
        <v>27</v>
      </c>
      <c r="M945">
        <v>4</v>
      </c>
      <c r="N945">
        <v>23</v>
      </c>
      <c r="O945">
        <v>4</v>
      </c>
      <c r="P945">
        <v>2</v>
      </c>
      <c r="Q945" t="s">
        <v>27</v>
      </c>
    </row>
    <row r="946" spans="1:17" x14ac:dyDescent="0.3">
      <c r="A946" t="s">
        <v>991</v>
      </c>
      <c r="B946">
        <v>40</v>
      </c>
      <c r="C946" t="s">
        <v>35</v>
      </c>
      <c r="D946" t="s">
        <v>70</v>
      </c>
      <c r="E946" t="s">
        <v>71</v>
      </c>
      <c r="F946">
        <v>15593</v>
      </c>
      <c r="G946">
        <v>22</v>
      </c>
      <c r="H946" t="s">
        <v>46</v>
      </c>
      <c r="I946" t="s">
        <v>31</v>
      </c>
      <c r="J946">
        <v>2</v>
      </c>
      <c r="K946">
        <v>2</v>
      </c>
      <c r="L946" t="s">
        <v>23</v>
      </c>
      <c r="M946">
        <v>3</v>
      </c>
      <c r="N946">
        <v>4</v>
      </c>
      <c r="O946">
        <v>6</v>
      </c>
      <c r="P946">
        <v>2</v>
      </c>
      <c r="Q946" t="s">
        <v>27</v>
      </c>
    </row>
    <row r="947" spans="1:17" x14ac:dyDescent="0.3">
      <c r="A947" t="s">
        <v>992</v>
      </c>
      <c r="B947">
        <v>39</v>
      </c>
      <c r="C947" t="s">
        <v>18</v>
      </c>
      <c r="D947" t="s">
        <v>19</v>
      </c>
      <c r="E947" t="s">
        <v>36</v>
      </c>
      <c r="F947">
        <v>11851</v>
      </c>
      <c r="G947">
        <v>16</v>
      </c>
      <c r="H947" t="s">
        <v>37</v>
      </c>
      <c r="I947" t="s">
        <v>56</v>
      </c>
      <c r="J947">
        <v>1</v>
      </c>
      <c r="K947">
        <v>4</v>
      </c>
      <c r="L947" t="s">
        <v>27</v>
      </c>
      <c r="M947">
        <v>2</v>
      </c>
      <c r="N947">
        <v>19</v>
      </c>
      <c r="O947">
        <v>0</v>
      </c>
      <c r="P947">
        <v>4</v>
      </c>
      <c r="Q947" t="s">
        <v>27</v>
      </c>
    </row>
    <row r="948" spans="1:17" x14ac:dyDescent="0.3">
      <c r="A948" t="s">
        <v>993</v>
      </c>
      <c r="B948">
        <v>28</v>
      </c>
      <c r="C948" t="s">
        <v>35</v>
      </c>
      <c r="D948" t="s">
        <v>25</v>
      </c>
      <c r="E948" t="s">
        <v>26</v>
      </c>
      <c r="F948">
        <v>15736</v>
      </c>
      <c r="G948">
        <v>8</v>
      </c>
      <c r="H948" t="s">
        <v>46</v>
      </c>
      <c r="I948" t="s">
        <v>31</v>
      </c>
      <c r="J948">
        <v>3</v>
      </c>
      <c r="K948">
        <v>4</v>
      </c>
      <c r="L948" t="s">
        <v>23</v>
      </c>
      <c r="M948">
        <v>3</v>
      </c>
      <c r="N948">
        <v>6</v>
      </c>
      <c r="O948">
        <v>6</v>
      </c>
      <c r="P948">
        <v>2</v>
      </c>
      <c r="Q948" t="s">
        <v>27</v>
      </c>
    </row>
    <row r="949" spans="1:17" x14ac:dyDescent="0.3">
      <c r="A949" t="s">
        <v>994</v>
      </c>
      <c r="B949">
        <v>46</v>
      </c>
      <c r="C949" t="s">
        <v>18</v>
      </c>
      <c r="D949" t="s">
        <v>74</v>
      </c>
      <c r="E949" t="s">
        <v>20</v>
      </c>
      <c r="F949">
        <v>11156</v>
      </c>
      <c r="G949">
        <v>3</v>
      </c>
      <c r="H949" t="s">
        <v>37</v>
      </c>
      <c r="I949" t="s">
        <v>31</v>
      </c>
      <c r="J949">
        <v>3</v>
      </c>
      <c r="K949">
        <v>3</v>
      </c>
      <c r="L949" t="s">
        <v>27</v>
      </c>
      <c r="M949">
        <v>2</v>
      </c>
      <c r="N949">
        <v>25</v>
      </c>
      <c r="O949">
        <v>0</v>
      </c>
      <c r="P949">
        <v>1</v>
      </c>
      <c r="Q949" t="s">
        <v>23</v>
      </c>
    </row>
    <row r="950" spans="1:17" x14ac:dyDescent="0.3">
      <c r="A950" t="s">
        <v>995</v>
      </c>
      <c r="B950">
        <v>25</v>
      </c>
      <c r="C950" t="s">
        <v>35</v>
      </c>
      <c r="D950" t="s">
        <v>44</v>
      </c>
      <c r="E950" t="s">
        <v>54</v>
      </c>
      <c r="F950">
        <v>5965</v>
      </c>
      <c r="G950">
        <v>3</v>
      </c>
      <c r="H950" t="s">
        <v>21</v>
      </c>
      <c r="I950" t="s">
        <v>22</v>
      </c>
      <c r="J950">
        <v>2</v>
      </c>
      <c r="K950">
        <v>1</v>
      </c>
      <c r="L950" t="s">
        <v>27</v>
      </c>
      <c r="M950">
        <v>4</v>
      </c>
      <c r="N950">
        <v>17</v>
      </c>
      <c r="O950">
        <v>1</v>
      </c>
      <c r="P950">
        <v>3</v>
      </c>
      <c r="Q950" t="s">
        <v>27</v>
      </c>
    </row>
    <row r="951" spans="1:17" x14ac:dyDescent="0.3">
      <c r="A951" t="s">
        <v>996</v>
      </c>
      <c r="B951">
        <v>46</v>
      </c>
      <c r="C951" t="s">
        <v>35</v>
      </c>
      <c r="D951" t="s">
        <v>25</v>
      </c>
      <c r="E951" t="s">
        <v>61</v>
      </c>
      <c r="F951">
        <v>6651</v>
      </c>
      <c r="G951">
        <v>3</v>
      </c>
      <c r="H951" t="s">
        <v>37</v>
      </c>
      <c r="I951" t="s">
        <v>56</v>
      </c>
      <c r="J951">
        <v>3</v>
      </c>
      <c r="K951">
        <v>2</v>
      </c>
      <c r="L951" t="s">
        <v>27</v>
      </c>
      <c r="M951">
        <v>4</v>
      </c>
      <c r="N951">
        <v>3</v>
      </c>
      <c r="O951">
        <v>6</v>
      </c>
      <c r="P951">
        <v>4</v>
      </c>
      <c r="Q951" t="s">
        <v>23</v>
      </c>
    </row>
    <row r="952" spans="1:17" x14ac:dyDescent="0.3">
      <c r="A952" t="s">
        <v>997</v>
      </c>
      <c r="B952">
        <v>38</v>
      </c>
      <c r="C952" t="s">
        <v>18</v>
      </c>
      <c r="D952" t="s">
        <v>25</v>
      </c>
      <c r="E952" t="s">
        <v>20</v>
      </c>
      <c r="F952">
        <v>13619</v>
      </c>
      <c r="G952">
        <v>7</v>
      </c>
      <c r="H952" t="s">
        <v>21</v>
      </c>
      <c r="I952" t="s">
        <v>22</v>
      </c>
      <c r="J952">
        <v>2</v>
      </c>
      <c r="K952">
        <v>4</v>
      </c>
      <c r="L952" t="s">
        <v>27</v>
      </c>
      <c r="M952">
        <v>3</v>
      </c>
      <c r="N952">
        <v>16</v>
      </c>
      <c r="O952">
        <v>3</v>
      </c>
      <c r="P952">
        <v>1</v>
      </c>
      <c r="Q952" t="s">
        <v>27</v>
      </c>
    </row>
    <row r="953" spans="1:17" x14ac:dyDescent="0.3">
      <c r="A953" t="s">
        <v>998</v>
      </c>
      <c r="B953">
        <v>39</v>
      </c>
      <c r="C953" t="s">
        <v>35</v>
      </c>
      <c r="D953" t="s">
        <v>74</v>
      </c>
      <c r="E953" t="s">
        <v>75</v>
      </c>
      <c r="F953">
        <v>8840</v>
      </c>
      <c r="G953">
        <v>5</v>
      </c>
      <c r="H953" t="s">
        <v>46</v>
      </c>
      <c r="I953" t="s">
        <v>22</v>
      </c>
      <c r="J953">
        <v>1</v>
      </c>
      <c r="K953">
        <v>2</v>
      </c>
      <c r="L953" t="s">
        <v>27</v>
      </c>
      <c r="M953">
        <v>4</v>
      </c>
      <c r="N953">
        <v>30</v>
      </c>
      <c r="O953">
        <v>6</v>
      </c>
      <c r="P953">
        <v>4</v>
      </c>
      <c r="Q953" t="s">
        <v>27</v>
      </c>
    </row>
    <row r="954" spans="1:17" x14ac:dyDescent="0.3">
      <c r="A954" t="s">
        <v>999</v>
      </c>
      <c r="B954">
        <v>35</v>
      </c>
      <c r="C954" t="s">
        <v>35</v>
      </c>
      <c r="D954" t="s">
        <v>19</v>
      </c>
      <c r="E954" t="s">
        <v>36</v>
      </c>
      <c r="F954">
        <v>8880</v>
      </c>
      <c r="G954">
        <v>4</v>
      </c>
      <c r="H954" t="s">
        <v>21</v>
      </c>
      <c r="I954" t="s">
        <v>31</v>
      </c>
      <c r="J954">
        <v>3</v>
      </c>
      <c r="K954">
        <v>4</v>
      </c>
      <c r="L954" t="s">
        <v>27</v>
      </c>
      <c r="M954">
        <v>3</v>
      </c>
      <c r="N954">
        <v>5</v>
      </c>
      <c r="O954">
        <v>5</v>
      </c>
      <c r="P954">
        <v>4</v>
      </c>
      <c r="Q954" t="s">
        <v>27</v>
      </c>
    </row>
    <row r="955" spans="1:17" x14ac:dyDescent="0.3">
      <c r="A955" t="s">
        <v>1000</v>
      </c>
      <c r="B955">
        <v>31</v>
      </c>
      <c r="C955" t="s">
        <v>35</v>
      </c>
      <c r="D955" t="s">
        <v>74</v>
      </c>
      <c r="E955" t="s">
        <v>99</v>
      </c>
      <c r="F955">
        <v>9757</v>
      </c>
      <c r="G955">
        <v>8</v>
      </c>
      <c r="H955" t="s">
        <v>37</v>
      </c>
      <c r="I955" t="s">
        <v>31</v>
      </c>
      <c r="J955">
        <v>2</v>
      </c>
      <c r="K955">
        <v>4</v>
      </c>
      <c r="L955" t="s">
        <v>27</v>
      </c>
      <c r="M955">
        <v>2</v>
      </c>
      <c r="N955">
        <v>13</v>
      </c>
      <c r="O955">
        <v>3</v>
      </c>
      <c r="P955">
        <v>2</v>
      </c>
      <c r="Q955" t="s">
        <v>27</v>
      </c>
    </row>
    <row r="956" spans="1:17" x14ac:dyDescent="0.3">
      <c r="A956" t="s">
        <v>1001</v>
      </c>
      <c r="B956">
        <v>38</v>
      </c>
      <c r="C956" t="s">
        <v>35</v>
      </c>
      <c r="D956" t="s">
        <v>25</v>
      </c>
      <c r="E956" t="s">
        <v>26</v>
      </c>
      <c r="F956">
        <v>10827</v>
      </c>
      <c r="G956">
        <v>3</v>
      </c>
      <c r="H956" t="s">
        <v>37</v>
      </c>
      <c r="I956" t="s">
        <v>31</v>
      </c>
      <c r="J956">
        <v>3</v>
      </c>
      <c r="K956">
        <v>4</v>
      </c>
      <c r="L956" t="s">
        <v>27</v>
      </c>
      <c r="M956">
        <v>1</v>
      </c>
      <c r="N956">
        <v>5</v>
      </c>
      <c r="O956">
        <v>1</v>
      </c>
      <c r="P956">
        <v>4</v>
      </c>
      <c r="Q956" t="s">
        <v>23</v>
      </c>
    </row>
    <row r="957" spans="1:17" x14ac:dyDescent="0.3">
      <c r="A957" t="s">
        <v>1002</v>
      </c>
      <c r="B957">
        <v>45</v>
      </c>
      <c r="C957" t="s">
        <v>35</v>
      </c>
      <c r="D957" t="s">
        <v>44</v>
      </c>
      <c r="E957" t="s">
        <v>20</v>
      </c>
      <c r="F957">
        <v>12517</v>
      </c>
      <c r="G957">
        <v>0</v>
      </c>
      <c r="H957" t="s">
        <v>33</v>
      </c>
      <c r="I957" t="s">
        <v>22</v>
      </c>
      <c r="J957">
        <v>1</v>
      </c>
      <c r="K957">
        <v>1</v>
      </c>
      <c r="L957" t="s">
        <v>23</v>
      </c>
      <c r="M957">
        <v>3</v>
      </c>
      <c r="N957">
        <v>2</v>
      </c>
      <c r="O957">
        <v>2</v>
      </c>
      <c r="P957">
        <v>4</v>
      </c>
      <c r="Q957" t="s">
        <v>23</v>
      </c>
    </row>
    <row r="958" spans="1:17" x14ac:dyDescent="0.3">
      <c r="A958" t="s">
        <v>1003</v>
      </c>
      <c r="B958">
        <v>33</v>
      </c>
      <c r="C958" t="s">
        <v>35</v>
      </c>
      <c r="D958" t="s">
        <v>44</v>
      </c>
      <c r="E958" t="s">
        <v>20</v>
      </c>
      <c r="F958">
        <v>10646</v>
      </c>
      <c r="G958">
        <v>0</v>
      </c>
      <c r="H958" t="s">
        <v>21</v>
      </c>
      <c r="I958" t="s">
        <v>56</v>
      </c>
      <c r="J958">
        <v>2</v>
      </c>
      <c r="K958">
        <v>2</v>
      </c>
      <c r="L958" t="s">
        <v>27</v>
      </c>
      <c r="M958">
        <v>2</v>
      </c>
      <c r="N958">
        <v>3</v>
      </c>
      <c r="O958">
        <v>0</v>
      </c>
      <c r="P958">
        <v>4</v>
      </c>
      <c r="Q958" t="s">
        <v>27</v>
      </c>
    </row>
    <row r="959" spans="1:17" x14ac:dyDescent="0.3">
      <c r="A959" t="s">
        <v>1004</v>
      </c>
      <c r="B959">
        <v>32</v>
      </c>
      <c r="C959" t="s">
        <v>35</v>
      </c>
      <c r="D959" t="s">
        <v>19</v>
      </c>
      <c r="E959" t="s">
        <v>40</v>
      </c>
      <c r="F959">
        <v>7409</v>
      </c>
      <c r="G959">
        <v>0</v>
      </c>
      <c r="H959" t="s">
        <v>21</v>
      </c>
      <c r="I959" t="s">
        <v>22</v>
      </c>
      <c r="J959">
        <v>2</v>
      </c>
      <c r="K959">
        <v>2</v>
      </c>
      <c r="L959" t="s">
        <v>27</v>
      </c>
      <c r="M959">
        <v>4</v>
      </c>
      <c r="N959">
        <v>10</v>
      </c>
      <c r="O959">
        <v>0</v>
      </c>
      <c r="P959">
        <v>3</v>
      </c>
      <c r="Q959" t="s">
        <v>27</v>
      </c>
    </row>
    <row r="960" spans="1:17" x14ac:dyDescent="0.3">
      <c r="A960" t="s">
        <v>1005</v>
      </c>
      <c r="B960">
        <v>35</v>
      </c>
      <c r="C960" t="s">
        <v>35</v>
      </c>
      <c r="D960" t="s">
        <v>44</v>
      </c>
      <c r="E960" t="s">
        <v>54</v>
      </c>
      <c r="F960">
        <v>9541</v>
      </c>
      <c r="G960">
        <v>2</v>
      </c>
      <c r="H960" t="s">
        <v>46</v>
      </c>
      <c r="I960" t="s">
        <v>22</v>
      </c>
      <c r="J960">
        <v>4</v>
      </c>
      <c r="K960">
        <v>1</v>
      </c>
      <c r="L960" t="s">
        <v>27</v>
      </c>
      <c r="M960">
        <v>4</v>
      </c>
      <c r="N960">
        <v>11</v>
      </c>
      <c r="O960">
        <v>6</v>
      </c>
      <c r="P960">
        <v>2</v>
      </c>
      <c r="Q960" t="s">
        <v>27</v>
      </c>
    </row>
    <row r="961" spans="1:17" x14ac:dyDescent="0.3">
      <c r="A961" t="s">
        <v>1006</v>
      </c>
      <c r="B961">
        <v>27</v>
      </c>
      <c r="C961" t="s">
        <v>18</v>
      </c>
      <c r="D961" t="s">
        <v>25</v>
      </c>
      <c r="E961" t="s">
        <v>26</v>
      </c>
      <c r="F961">
        <v>5474</v>
      </c>
      <c r="G961">
        <v>2</v>
      </c>
      <c r="H961" t="s">
        <v>21</v>
      </c>
      <c r="I961" t="s">
        <v>31</v>
      </c>
      <c r="J961">
        <v>2</v>
      </c>
      <c r="K961">
        <v>3</v>
      </c>
      <c r="L961" t="s">
        <v>23</v>
      </c>
      <c r="M961">
        <v>1</v>
      </c>
      <c r="N961">
        <v>17</v>
      </c>
      <c r="O961">
        <v>2</v>
      </c>
      <c r="P961">
        <v>4</v>
      </c>
      <c r="Q961" t="s">
        <v>27</v>
      </c>
    </row>
    <row r="962" spans="1:17" x14ac:dyDescent="0.3">
      <c r="A962" t="s">
        <v>1007</v>
      </c>
      <c r="B962">
        <v>49</v>
      </c>
      <c r="C962" t="s">
        <v>35</v>
      </c>
      <c r="D962" t="s">
        <v>19</v>
      </c>
      <c r="E962" t="s">
        <v>36</v>
      </c>
      <c r="F962">
        <v>4762</v>
      </c>
      <c r="G962">
        <v>0</v>
      </c>
      <c r="H962" t="s">
        <v>37</v>
      </c>
      <c r="I962" t="s">
        <v>22</v>
      </c>
      <c r="J962">
        <v>2</v>
      </c>
      <c r="K962">
        <v>2</v>
      </c>
      <c r="L962" t="s">
        <v>27</v>
      </c>
      <c r="M962">
        <v>3</v>
      </c>
      <c r="N962">
        <v>26</v>
      </c>
      <c r="O962">
        <v>4</v>
      </c>
      <c r="P962">
        <v>3</v>
      </c>
      <c r="Q962" t="s">
        <v>27</v>
      </c>
    </row>
    <row r="963" spans="1:17" x14ac:dyDescent="0.3">
      <c r="A963" t="s">
        <v>1008</v>
      </c>
      <c r="B963">
        <v>40</v>
      </c>
      <c r="C963" t="s">
        <v>35</v>
      </c>
      <c r="D963" t="s">
        <v>70</v>
      </c>
      <c r="E963" t="s">
        <v>71</v>
      </c>
      <c r="F963">
        <v>5768</v>
      </c>
      <c r="G963">
        <v>1</v>
      </c>
      <c r="H963" t="s">
        <v>21</v>
      </c>
      <c r="I963" t="s">
        <v>31</v>
      </c>
      <c r="J963">
        <v>4</v>
      </c>
      <c r="K963">
        <v>4</v>
      </c>
      <c r="L963" t="s">
        <v>27</v>
      </c>
      <c r="M963">
        <v>3</v>
      </c>
      <c r="N963">
        <v>18</v>
      </c>
      <c r="O963">
        <v>6</v>
      </c>
      <c r="P963">
        <v>3</v>
      </c>
      <c r="Q963" t="s">
        <v>23</v>
      </c>
    </row>
    <row r="964" spans="1:17" x14ac:dyDescent="0.3">
      <c r="A964" t="s">
        <v>1009</v>
      </c>
      <c r="B964">
        <v>35</v>
      </c>
      <c r="C964" t="s">
        <v>35</v>
      </c>
      <c r="D964" t="s">
        <v>19</v>
      </c>
      <c r="E964" t="s">
        <v>20</v>
      </c>
      <c r="F964">
        <v>15384</v>
      </c>
      <c r="G964">
        <v>15</v>
      </c>
      <c r="H964" t="s">
        <v>21</v>
      </c>
      <c r="I964" t="s">
        <v>56</v>
      </c>
      <c r="J964">
        <v>3</v>
      </c>
      <c r="K964">
        <v>3</v>
      </c>
      <c r="L964" t="s">
        <v>27</v>
      </c>
      <c r="M964">
        <v>3</v>
      </c>
      <c r="N964">
        <v>30</v>
      </c>
      <c r="O964">
        <v>3</v>
      </c>
      <c r="P964">
        <v>3</v>
      </c>
      <c r="Q964" t="s">
        <v>27</v>
      </c>
    </row>
    <row r="965" spans="1:17" x14ac:dyDescent="0.3">
      <c r="A965" t="s">
        <v>1010</v>
      </c>
      <c r="B965">
        <v>27</v>
      </c>
      <c r="C965" t="s">
        <v>35</v>
      </c>
      <c r="D965" t="s">
        <v>19</v>
      </c>
      <c r="E965" t="s">
        <v>36</v>
      </c>
      <c r="F965">
        <v>9167</v>
      </c>
      <c r="G965">
        <v>7</v>
      </c>
      <c r="H965" t="s">
        <v>37</v>
      </c>
      <c r="I965" t="s">
        <v>31</v>
      </c>
      <c r="J965">
        <v>2</v>
      </c>
      <c r="K965">
        <v>1</v>
      </c>
      <c r="L965" t="s">
        <v>23</v>
      </c>
      <c r="M965">
        <v>3</v>
      </c>
      <c r="N965">
        <v>20</v>
      </c>
      <c r="O965">
        <v>4</v>
      </c>
      <c r="P965">
        <v>3</v>
      </c>
      <c r="Q965" t="s">
        <v>23</v>
      </c>
    </row>
    <row r="966" spans="1:17" x14ac:dyDescent="0.3">
      <c r="A966" t="s">
        <v>1011</v>
      </c>
      <c r="B966">
        <v>32</v>
      </c>
      <c r="C966" t="s">
        <v>35</v>
      </c>
      <c r="D966" t="s">
        <v>25</v>
      </c>
      <c r="E966" t="s">
        <v>20</v>
      </c>
      <c r="F966">
        <v>11074</v>
      </c>
      <c r="G966">
        <v>2</v>
      </c>
      <c r="H966" t="s">
        <v>21</v>
      </c>
      <c r="I966" t="s">
        <v>56</v>
      </c>
      <c r="J966">
        <v>4</v>
      </c>
      <c r="K966">
        <v>2</v>
      </c>
      <c r="L966" t="s">
        <v>27</v>
      </c>
      <c r="M966">
        <v>3</v>
      </c>
      <c r="N966">
        <v>29</v>
      </c>
      <c r="O966">
        <v>1</v>
      </c>
      <c r="P966">
        <v>1</v>
      </c>
      <c r="Q966" t="s">
        <v>27</v>
      </c>
    </row>
    <row r="967" spans="1:17" x14ac:dyDescent="0.3">
      <c r="A967" t="s">
        <v>1012</v>
      </c>
      <c r="B967">
        <v>28</v>
      </c>
      <c r="C967" t="s">
        <v>35</v>
      </c>
      <c r="D967" t="s">
        <v>25</v>
      </c>
      <c r="E967" t="s">
        <v>26</v>
      </c>
      <c r="F967">
        <v>7398</v>
      </c>
      <c r="G967">
        <v>3</v>
      </c>
      <c r="H967" t="s">
        <v>46</v>
      </c>
      <c r="I967" t="s">
        <v>22</v>
      </c>
      <c r="J967">
        <v>2</v>
      </c>
      <c r="K967">
        <v>1</v>
      </c>
      <c r="L967" t="s">
        <v>27</v>
      </c>
      <c r="M967">
        <v>2</v>
      </c>
      <c r="N967">
        <v>10</v>
      </c>
      <c r="O967">
        <v>6</v>
      </c>
      <c r="P967">
        <v>3</v>
      </c>
      <c r="Q967" t="s">
        <v>27</v>
      </c>
    </row>
    <row r="968" spans="1:17" x14ac:dyDescent="0.3">
      <c r="A968" t="s">
        <v>1013</v>
      </c>
      <c r="B968">
        <v>48</v>
      </c>
      <c r="C968" t="s">
        <v>18</v>
      </c>
      <c r="D968" t="s">
        <v>29</v>
      </c>
      <c r="E968" t="s">
        <v>49</v>
      </c>
      <c r="F968">
        <v>7959</v>
      </c>
      <c r="G968">
        <v>1</v>
      </c>
      <c r="H968" t="s">
        <v>33</v>
      </c>
      <c r="I968" t="s">
        <v>22</v>
      </c>
      <c r="J968">
        <v>2</v>
      </c>
      <c r="K968">
        <v>4</v>
      </c>
      <c r="L968" t="s">
        <v>23</v>
      </c>
      <c r="M968">
        <v>3</v>
      </c>
      <c r="N968">
        <v>2</v>
      </c>
      <c r="O968">
        <v>4</v>
      </c>
      <c r="P968">
        <v>3</v>
      </c>
      <c r="Q968" t="s">
        <v>27</v>
      </c>
    </row>
    <row r="969" spans="1:17" x14ac:dyDescent="0.3">
      <c r="A969" t="s">
        <v>1014</v>
      </c>
      <c r="B969">
        <v>27</v>
      </c>
      <c r="C969" t="s">
        <v>18</v>
      </c>
      <c r="D969" t="s">
        <v>44</v>
      </c>
      <c r="E969" t="s">
        <v>45</v>
      </c>
      <c r="F969">
        <v>6097</v>
      </c>
      <c r="G969">
        <v>0</v>
      </c>
      <c r="H969" t="s">
        <v>37</v>
      </c>
      <c r="I969" t="s">
        <v>31</v>
      </c>
      <c r="J969">
        <v>2</v>
      </c>
      <c r="K969">
        <v>2</v>
      </c>
      <c r="L969" t="s">
        <v>27</v>
      </c>
      <c r="M969">
        <v>3</v>
      </c>
      <c r="N969">
        <v>23</v>
      </c>
      <c r="O969">
        <v>0</v>
      </c>
      <c r="P969">
        <v>4</v>
      </c>
      <c r="Q969" t="s">
        <v>27</v>
      </c>
    </row>
    <row r="970" spans="1:17" x14ac:dyDescent="0.3">
      <c r="A970" t="s">
        <v>1015</v>
      </c>
      <c r="B970">
        <v>51</v>
      </c>
      <c r="C970" t="s">
        <v>35</v>
      </c>
      <c r="D970" t="s">
        <v>25</v>
      </c>
      <c r="E970" t="s">
        <v>26</v>
      </c>
      <c r="F970">
        <v>2981</v>
      </c>
      <c r="G970">
        <v>1</v>
      </c>
      <c r="H970" t="s">
        <v>21</v>
      </c>
      <c r="I970" t="s">
        <v>31</v>
      </c>
      <c r="J970">
        <v>3</v>
      </c>
      <c r="K970">
        <v>4</v>
      </c>
      <c r="L970" t="s">
        <v>27</v>
      </c>
      <c r="M970">
        <v>3</v>
      </c>
      <c r="N970">
        <v>8</v>
      </c>
      <c r="O970">
        <v>6</v>
      </c>
      <c r="P970">
        <v>3</v>
      </c>
      <c r="Q970" t="s">
        <v>27</v>
      </c>
    </row>
    <row r="971" spans="1:17" x14ac:dyDescent="0.3">
      <c r="A971" t="s">
        <v>1016</v>
      </c>
      <c r="B971">
        <v>45</v>
      </c>
      <c r="C971" t="s">
        <v>35</v>
      </c>
      <c r="D971" t="s">
        <v>44</v>
      </c>
      <c r="E971" t="s">
        <v>45</v>
      </c>
      <c r="F971">
        <v>12404</v>
      </c>
      <c r="G971">
        <v>5</v>
      </c>
      <c r="H971" t="s">
        <v>37</v>
      </c>
      <c r="I971" t="s">
        <v>31</v>
      </c>
      <c r="J971">
        <v>1</v>
      </c>
      <c r="K971">
        <v>3</v>
      </c>
      <c r="L971" t="s">
        <v>27</v>
      </c>
      <c r="M971">
        <v>3</v>
      </c>
      <c r="N971">
        <v>29</v>
      </c>
      <c r="O971">
        <v>5</v>
      </c>
      <c r="P971">
        <v>1</v>
      </c>
      <c r="Q971" t="s">
        <v>27</v>
      </c>
    </row>
    <row r="972" spans="1:17" x14ac:dyDescent="0.3">
      <c r="A972" t="s">
        <v>1017</v>
      </c>
      <c r="B972">
        <v>33</v>
      </c>
      <c r="C972" t="s">
        <v>35</v>
      </c>
      <c r="D972" t="s">
        <v>25</v>
      </c>
      <c r="E972" t="s">
        <v>26</v>
      </c>
      <c r="F972">
        <v>7708</v>
      </c>
      <c r="G972">
        <v>3</v>
      </c>
      <c r="H972" t="s">
        <v>37</v>
      </c>
      <c r="I972" t="s">
        <v>22</v>
      </c>
      <c r="J972">
        <v>1</v>
      </c>
      <c r="K972">
        <v>2</v>
      </c>
      <c r="L972" t="s">
        <v>23</v>
      </c>
      <c r="M972">
        <v>4</v>
      </c>
      <c r="N972">
        <v>6</v>
      </c>
      <c r="O972">
        <v>5</v>
      </c>
      <c r="P972">
        <v>3</v>
      </c>
      <c r="Q972" t="s">
        <v>27</v>
      </c>
    </row>
    <row r="973" spans="1:17" x14ac:dyDescent="0.3">
      <c r="A973" t="s">
        <v>1018</v>
      </c>
      <c r="B973">
        <v>18</v>
      </c>
      <c r="C973" t="s">
        <v>35</v>
      </c>
      <c r="D973" t="s">
        <v>29</v>
      </c>
      <c r="E973" t="s">
        <v>30</v>
      </c>
      <c r="F973">
        <v>6705</v>
      </c>
      <c r="G973">
        <v>0</v>
      </c>
      <c r="H973" t="s">
        <v>21</v>
      </c>
      <c r="I973" t="s">
        <v>31</v>
      </c>
      <c r="J973">
        <v>3</v>
      </c>
      <c r="K973">
        <v>1</v>
      </c>
      <c r="L973" t="s">
        <v>27</v>
      </c>
      <c r="M973">
        <v>3</v>
      </c>
      <c r="N973">
        <v>1</v>
      </c>
      <c r="O973">
        <v>6</v>
      </c>
      <c r="P973">
        <v>2</v>
      </c>
      <c r="Q973" t="s">
        <v>27</v>
      </c>
    </row>
    <row r="974" spans="1:17" x14ac:dyDescent="0.3">
      <c r="A974" t="s">
        <v>1019</v>
      </c>
      <c r="B974">
        <v>26</v>
      </c>
      <c r="C974" t="s">
        <v>35</v>
      </c>
      <c r="D974" t="s">
        <v>25</v>
      </c>
      <c r="E974" t="s">
        <v>20</v>
      </c>
      <c r="F974">
        <v>12362</v>
      </c>
      <c r="G974">
        <v>1</v>
      </c>
      <c r="H974" t="s">
        <v>37</v>
      </c>
      <c r="I974" t="s">
        <v>31</v>
      </c>
      <c r="J974">
        <v>4</v>
      </c>
      <c r="K974">
        <v>2</v>
      </c>
      <c r="L974" t="s">
        <v>23</v>
      </c>
      <c r="M974">
        <v>3</v>
      </c>
      <c r="N974">
        <v>20</v>
      </c>
      <c r="O974">
        <v>0</v>
      </c>
      <c r="P974">
        <v>3</v>
      </c>
      <c r="Q974" t="s">
        <v>27</v>
      </c>
    </row>
    <row r="975" spans="1:17" x14ac:dyDescent="0.3">
      <c r="A975" t="s">
        <v>1020</v>
      </c>
      <c r="B975">
        <v>32</v>
      </c>
      <c r="C975" t="s">
        <v>18</v>
      </c>
      <c r="D975" t="s">
        <v>44</v>
      </c>
      <c r="E975" t="s">
        <v>54</v>
      </c>
      <c r="F975">
        <v>8612</v>
      </c>
      <c r="G975">
        <v>1</v>
      </c>
      <c r="H975" t="s">
        <v>21</v>
      </c>
      <c r="I975" t="s">
        <v>22</v>
      </c>
      <c r="J975">
        <v>4</v>
      </c>
      <c r="K975">
        <v>4</v>
      </c>
      <c r="L975" t="s">
        <v>27</v>
      </c>
      <c r="M975">
        <v>2</v>
      </c>
      <c r="N975">
        <v>23</v>
      </c>
      <c r="O975">
        <v>3</v>
      </c>
      <c r="P975">
        <v>2</v>
      </c>
      <c r="Q975" t="s">
        <v>27</v>
      </c>
    </row>
    <row r="976" spans="1:17" x14ac:dyDescent="0.3">
      <c r="A976" t="s">
        <v>1021</v>
      </c>
      <c r="B976">
        <v>40</v>
      </c>
      <c r="C976" t="s">
        <v>35</v>
      </c>
      <c r="D976" t="s">
        <v>70</v>
      </c>
      <c r="E976" t="s">
        <v>20</v>
      </c>
      <c r="F976">
        <v>17208</v>
      </c>
      <c r="G976">
        <v>18</v>
      </c>
      <c r="H976" t="s">
        <v>21</v>
      </c>
      <c r="I976" t="s">
        <v>22</v>
      </c>
      <c r="J976">
        <v>3</v>
      </c>
      <c r="K976">
        <v>1</v>
      </c>
      <c r="L976" t="s">
        <v>23</v>
      </c>
      <c r="M976">
        <v>2</v>
      </c>
      <c r="N976">
        <v>14</v>
      </c>
      <c r="O976">
        <v>5</v>
      </c>
      <c r="P976">
        <v>1</v>
      </c>
      <c r="Q976" t="s">
        <v>27</v>
      </c>
    </row>
    <row r="977" spans="1:17" x14ac:dyDescent="0.3">
      <c r="A977" t="s">
        <v>1022</v>
      </c>
      <c r="B977">
        <v>48</v>
      </c>
      <c r="C977" t="s">
        <v>18</v>
      </c>
      <c r="D977" t="s">
        <v>25</v>
      </c>
      <c r="E977" t="s">
        <v>61</v>
      </c>
      <c r="F977">
        <v>7173</v>
      </c>
      <c r="G977">
        <v>2</v>
      </c>
      <c r="H977" t="s">
        <v>46</v>
      </c>
      <c r="I977" t="s">
        <v>22</v>
      </c>
      <c r="J977">
        <v>4</v>
      </c>
      <c r="K977">
        <v>3</v>
      </c>
      <c r="L977" t="s">
        <v>27</v>
      </c>
      <c r="M977">
        <v>2</v>
      </c>
      <c r="N977">
        <v>12</v>
      </c>
      <c r="O977">
        <v>6</v>
      </c>
      <c r="P977">
        <v>4</v>
      </c>
      <c r="Q977" t="s">
        <v>23</v>
      </c>
    </row>
    <row r="978" spans="1:17" x14ac:dyDescent="0.3">
      <c r="A978" t="s">
        <v>1023</v>
      </c>
      <c r="B978">
        <v>43</v>
      </c>
      <c r="C978" t="s">
        <v>18</v>
      </c>
      <c r="D978" t="s">
        <v>74</v>
      </c>
      <c r="E978" t="s">
        <v>75</v>
      </c>
      <c r="F978">
        <v>10008</v>
      </c>
      <c r="G978">
        <v>4</v>
      </c>
      <c r="H978" t="s">
        <v>37</v>
      </c>
      <c r="I978" t="s">
        <v>22</v>
      </c>
      <c r="J978">
        <v>3</v>
      </c>
      <c r="K978">
        <v>3</v>
      </c>
      <c r="L978" t="s">
        <v>23</v>
      </c>
      <c r="M978">
        <v>3</v>
      </c>
      <c r="N978">
        <v>12</v>
      </c>
      <c r="O978">
        <v>5</v>
      </c>
      <c r="P978">
        <v>2</v>
      </c>
      <c r="Q978" t="s">
        <v>27</v>
      </c>
    </row>
    <row r="979" spans="1:17" x14ac:dyDescent="0.3">
      <c r="A979" t="s">
        <v>1024</v>
      </c>
      <c r="B979">
        <v>37</v>
      </c>
      <c r="C979" t="s">
        <v>18</v>
      </c>
      <c r="D979" t="s">
        <v>70</v>
      </c>
      <c r="E979" t="s">
        <v>144</v>
      </c>
      <c r="F979">
        <v>5261</v>
      </c>
      <c r="G979">
        <v>5</v>
      </c>
      <c r="H979" t="s">
        <v>37</v>
      </c>
      <c r="I979" t="s">
        <v>56</v>
      </c>
      <c r="J979">
        <v>1</v>
      </c>
      <c r="K979">
        <v>2</v>
      </c>
      <c r="L979" t="s">
        <v>27</v>
      </c>
      <c r="M979">
        <v>3</v>
      </c>
      <c r="N979">
        <v>13</v>
      </c>
      <c r="O979">
        <v>0</v>
      </c>
      <c r="P979">
        <v>2</v>
      </c>
      <c r="Q979" t="s">
        <v>27</v>
      </c>
    </row>
    <row r="980" spans="1:17" x14ac:dyDescent="0.3">
      <c r="A980" t="s">
        <v>1025</v>
      </c>
      <c r="B980">
        <v>26</v>
      </c>
      <c r="C980" t="s">
        <v>35</v>
      </c>
      <c r="D980" t="s">
        <v>44</v>
      </c>
      <c r="E980" t="s">
        <v>45</v>
      </c>
      <c r="F980">
        <v>6457</v>
      </c>
      <c r="G980">
        <v>3</v>
      </c>
      <c r="H980" t="s">
        <v>21</v>
      </c>
      <c r="I980" t="s">
        <v>22</v>
      </c>
      <c r="J980">
        <v>4</v>
      </c>
      <c r="K980">
        <v>3</v>
      </c>
      <c r="L980" t="s">
        <v>27</v>
      </c>
      <c r="M980">
        <v>1</v>
      </c>
      <c r="N980">
        <v>26</v>
      </c>
      <c r="O980">
        <v>0</v>
      </c>
      <c r="P980">
        <v>1</v>
      </c>
      <c r="Q980" t="s">
        <v>27</v>
      </c>
    </row>
    <row r="981" spans="1:17" x14ac:dyDescent="0.3">
      <c r="A981" t="s">
        <v>1026</v>
      </c>
      <c r="B981">
        <v>35</v>
      </c>
      <c r="C981" t="s">
        <v>35</v>
      </c>
      <c r="D981" t="s">
        <v>25</v>
      </c>
      <c r="E981" t="s">
        <v>26</v>
      </c>
      <c r="F981">
        <v>7904</v>
      </c>
      <c r="G981">
        <v>9</v>
      </c>
      <c r="H981" t="s">
        <v>37</v>
      </c>
      <c r="I981" t="s">
        <v>31</v>
      </c>
      <c r="J981">
        <v>3</v>
      </c>
      <c r="K981">
        <v>2</v>
      </c>
      <c r="L981" t="s">
        <v>27</v>
      </c>
      <c r="M981">
        <v>3</v>
      </c>
      <c r="N981">
        <v>2</v>
      </c>
      <c r="O981">
        <v>4</v>
      </c>
      <c r="P981">
        <v>3</v>
      </c>
      <c r="Q981" t="s">
        <v>23</v>
      </c>
    </row>
    <row r="982" spans="1:17" x14ac:dyDescent="0.3">
      <c r="A982" t="s">
        <v>1027</v>
      </c>
      <c r="B982">
        <v>26</v>
      </c>
      <c r="C982" t="s">
        <v>18</v>
      </c>
      <c r="D982" t="s">
        <v>25</v>
      </c>
      <c r="E982" t="s">
        <v>61</v>
      </c>
      <c r="F982">
        <v>6950</v>
      </c>
      <c r="G982">
        <v>1</v>
      </c>
      <c r="H982" t="s">
        <v>37</v>
      </c>
      <c r="I982" t="s">
        <v>31</v>
      </c>
      <c r="J982">
        <v>3</v>
      </c>
      <c r="K982">
        <v>1</v>
      </c>
      <c r="L982" t="s">
        <v>27</v>
      </c>
      <c r="M982">
        <v>3</v>
      </c>
      <c r="N982">
        <v>25</v>
      </c>
      <c r="O982">
        <v>1</v>
      </c>
      <c r="P982">
        <v>1</v>
      </c>
      <c r="Q982" t="s">
        <v>27</v>
      </c>
    </row>
    <row r="983" spans="1:17" x14ac:dyDescent="0.3">
      <c r="A983" t="s">
        <v>1028</v>
      </c>
      <c r="B983">
        <v>25</v>
      </c>
      <c r="C983" t="s">
        <v>35</v>
      </c>
      <c r="D983" t="s">
        <v>25</v>
      </c>
      <c r="E983" t="s">
        <v>26</v>
      </c>
      <c r="F983">
        <v>7486</v>
      </c>
      <c r="G983">
        <v>7</v>
      </c>
      <c r="H983" t="s">
        <v>21</v>
      </c>
      <c r="I983" t="s">
        <v>22</v>
      </c>
      <c r="J983">
        <v>3</v>
      </c>
      <c r="K983">
        <v>1</v>
      </c>
      <c r="L983" t="s">
        <v>27</v>
      </c>
      <c r="M983">
        <v>3</v>
      </c>
      <c r="N983">
        <v>17</v>
      </c>
      <c r="O983">
        <v>0</v>
      </c>
      <c r="P983">
        <v>1</v>
      </c>
      <c r="Q983" t="s">
        <v>27</v>
      </c>
    </row>
    <row r="984" spans="1:17" x14ac:dyDescent="0.3">
      <c r="A984" t="s">
        <v>1029</v>
      </c>
      <c r="B984">
        <v>42</v>
      </c>
      <c r="C984" t="s">
        <v>18</v>
      </c>
      <c r="D984" t="s">
        <v>19</v>
      </c>
      <c r="E984" t="s">
        <v>40</v>
      </c>
      <c r="F984">
        <v>6190</v>
      </c>
      <c r="G984">
        <v>4</v>
      </c>
      <c r="H984" t="s">
        <v>37</v>
      </c>
      <c r="I984" t="s">
        <v>56</v>
      </c>
      <c r="J984">
        <v>3</v>
      </c>
      <c r="K984">
        <v>1</v>
      </c>
      <c r="L984" t="s">
        <v>27</v>
      </c>
      <c r="M984">
        <v>2</v>
      </c>
      <c r="N984">
        <v>16</v>
      </c>
      <c r="O984">
        <v>3</v>
      </c>
      <c r="P984">
        <v>2</v>
      </c>
      <c r="Q984" t="s">
        <v>27</v>
      </c>
    </row>
    <row r="985" spans="1:17" x14ac:dyDescent="0.3">
      <c r="A985" t="s">
        <v>1030</v>
      </c>
      <c r="B985">
        <v>25</v>
      </c>
      <c r="C985" t="s">
        <v>18</v>
      </c>
      <c r="D985" t="s">
        <v>70</v>
      </c>
      <c r="E985" t="s">
        <v>71</v>
      </c>
      <c r="F985">
        <v>5837</v>
      </c>
      <c r="G985">
        <v>2</v>
      </c>
      <c r="H985" t="s">
        <v>21</v>
      </c>
      <c r="I985" t="s">
        <v>31</v>
      </c>
      <c r="J985">
        <v>4</v>
      </c>
      <c r="K985">
        <v>2</v>
      </c>
      <c r="L985" t="s">
        <v>27</v>
      </c>
      <c r="M985">
        <v>3</v>
      </c>
      <c r="N985">
        <v>13</v>
      </c>
      <c r="O985">
        <v>4</v>
      </c>
      <c r="P985">
        <v>4</v>
      </c>
      <c r="Q985" t="s">
        <v>27</v>
      </c>
    </row>
    <row r="986" spans="1:17" x14ac:dyDescent="0.3">
      <c r="A986" t="s">
        <v>1031</v>
      </c>
      <c r="B986">
        <v>43</v>
      </c>
      <c r="C986" t="s">
        <v>18</v>
      </c>
      <c r="D986" t="s">
        <v>29</v>
      </c>
      <c r="E986" t="s">
        <v>30</v>
      </c>
      <c r="F986">
        <v>7267</v>
      </c>
      <c r="G986">
        <v>1</v>
      </c>
      <c r="H986" t="s">
        <v>21</v>
      </c>
      <c r="I986" t="s">
        <v>22</v>
      </c>
      <c r="J986">
        <v>1</v>
      </c>
      <c r="K986">
        <v>1</v>
      </c>
      <c r="L986" t="s">
        <v>23</v>
      </c>
      <c r="M986">
        <v>3</v>
      </c>
      <c r="N986">
        <v>27</v>
      </c>
      <c r="O986">
        <v>4</v>
      </c>
      <c r="P986">
        <v>1</v>
      </c>
      <c r="Q986" t="s">
        <v>23</v>
      </c>
    </row>
    <row r="987" spans="1:17" x14ac:dyDescent="0.3">
      <c r="A987" t="s">
        <v>1032</v>
      </c>
      <c r="B987">
        <v>42</v>
      </c>
      <c r="C987" t="s">
        <v>18</v>
      </c>
      <c r="D987" t="s">
        <v>29</v>
      </c>
      <c r="E987" t="s">
        <v>49</v>
      </c>
      <c r="F987">
        <v>11540</v>
      </c>
      <c r="G987">
        <v>6</v>
      </c>
      <c r="H987" t="s">
        <v>21</v>
      </c>
      <c r="I987" t="s">
        <v>22</v>
      </c>
      <c r="J987">
        <v>3</v>
      </c>
      <c r="K987">
        <v>3</v>
      </c>
      <c r="L987" t="s">
        <v>27</v>
      </c>
      <c r="M987">
        <v>3</v>
      </c>
      <c r="N987">
        <v>12</v>
      </c>
      <c r="O987">
        <v>4</v>
      </c>
      <c r="P987">
        <v>4</v>
      </c>
      <c r="Q987" t="s">
        <v>27</v>
      </c>
    </row>
    <row r="988" spans="1:17" x14ac:dyDescent="0.3">
      <c r="A988" t="s">
        <v>1033</v>
      </c>
      <c r="B988">
        <v>40</v>
      </c>
      <c r="C988" t="s">
        <v>35</v>
      </c>
      <c r="D988" t="s">
        <v>74</v>
      </c>
      <c r="E988" t="s">
        <v>75</v>
      </c>
      <c r="F988">
        <v>6037</v>
      </c>
      <c r="G988">
        <v>5</v>
      </c>
      <c r="H988" t="s">
        <v>33</v>
      </c>
      <c r="I988" t="s">
        <v>31</v>
      </c>
      <c r="J988">
        <v>1</v>
      </c>
      <c r="K988">
        <v>2</v>
      </c>
      <c r="L988" t="s">
        <v>27</v>
      </c>
      <c r="M988">
        <v>3</v>
      </c>
      <c r="N988">
        <v>17</v>
      </c>
      <c r="O988">
        <v>6</v>
      </c>
      <c r="P988">
        <v>2</v>
      </c>
      <c r="Q988" t="s">
        <v>27</v>
      </c>
    </row>
    <row r="989" spans="1:17" x14ac:dyDescent="0.3">
      <c r="A989" t="s">
        <v>1034</v>
      </c>
      <c r="B989">
        <v>34</v>
      </c>
      <c r="C989" t="s">
        <v>35</v>
      </c>
      <c r="D989" t="s">
        <v>74</v>
      </c>
      <c r="E989" t="s">
        <v>99</v>
      </c>
      <c r="F989">
        <v>12399</v>
      </c>
      <c r="G989">
        <v>6</v>
      </c>
      <c r="H989" t="s">
        <v>37</v>
      </c>
      <c r="I989" t="s">
        <v>31</v>
      </c>
      <c r="J989">
        <v>1</v>
      </c>
      <c r="K989">
        <v>3</v>
      </c>
      <c r="L989" t="s">
        <v>27</v>
      </c>
      <c r="M989">
        <v>3</v>
      </c>
      <c r="N989">
        <v>5</v>
      </c>
      <c r="O989">
        <v>1</v>
      </c>
      <c r="P989">
        <v>3</v>
      </c>
      <c r="Q989" t="s">
        <v>27</v>
      </c>
    </row>
    <row r="990" spans="1:17" x14ac:dyDescent="0.3">
      <c r="A990" t="s">
        <v>1035</v>
      </c>
      <c r="B990">
        <v>38</v>
      </c>
      <c r="C990" t="s">
        <v>18</v>
      </c>
      <c r="D990" t="s">
        <v>25</v>
      </c>
      <c r="E990" t="s">
        <v>26</v>
      </c>
      <c r="F990">
        <v>10269</v>
      </c>
      <c r="G990">
        <v>1</v>
      </c>
      <c r="H990" t="s">
        <v>37</v>
      </c>
      <c r="I990" t="s">
        <v>31</v>
      </c>
      <c r="J990">
        <v>3</v>
      </c>
      <c r="K990">
        <v>1</v>
      </c>
      <c r="L990" t="s">
        <v>23</v>
      </c>
      <c r="M990">
        <v>3</v>
      </c>
      <c r="N990">
        <v>14</v>
      </c>
      <c r="O990">
        <v>0</v>
      </c>
      <c r="P990">
        <v>1</v>
      </c>
      <c r="Q990" t="s">
        <v>27</v>
      </c>
    </row>
    <row r="991" spans="1:17" x14ac:dyDescent="0.3">
      <c r="A991" t="s">
        <v>1036</v>
      </c>
      <c r="B991">
        <v>29</v>
      </c>
      <c r="C991" t="s">
        <v>18</v>
      </c>
      <c r="D991" t="s">
        <v>19</v>
      </c>
      <c r="E991" t="s">
        <v>36</v>
      </c>
      <c r="F991">
        <v>4264</v>
      </c>
      <c r="G991">
        <v>0</v>
      </c>
      <c r="H991" t="s">
        <v>46</v>
      </c>
      <c r="I991" t="s">
        <v>22</v>
      </c>
      <c r="J991">
        <v>4</v>
      </c>
      <c r="K991">
        <v>4</v>
      </c>
      <c r="L991" t="s">
        <v>27</v>
      </c>
      <c r="M991">
        <v>3</v>
      </c>
      <c r="N991">
        <v>15</v>
      </c>
      <c r="O991">
        <v>1</v>
      </c>
      <c r="P991">
        <v>2</v>
      </c>
      <c r="Q991" t="s">
        <v>27</v>
      </c>
    </row>
    <row r="992" spans="1:17" x14ac:dyDescent="0.3">
      <c r="A992" t="s">
        <v>1037</v>
      </c>
      <c r="B992">
        <v>35</v>
      </c>
      <c r="C992" t="s">
        <v>18</v>
      </c>
      <c r="D992" t="s">
        <v>29</v>
      </c>
      <c r="E992" t="s">
        <v>30</v>
      </c>
      <c r="F992">
        <v>7198</v>
      </c>
      <c r="G992">
        <v>3</v>
      </c>
      <c r="H992" t="s">
        <v>37</v>
      </c>
      <c r="I992" t="s">
        <v>22</v>
      </c>
      <c r="J992">
        <v>4</v>
      </c>
      <c r="K992">
        <v>4</v>
      </c>
      <c r="L992" t="s">
        <v>27</v>
      </c>
      <c r="M992">
        <v>3</v>
      </c>
      <c r="N992">
        <v>3</v>
      </c>
      <c r="O992">
        <v>4</v>
      </c>
      <c r="P992">
        <v>2</v>
      </c>
      <c r="Q992" t="s">
        <v>27</v>
      </c>
    </row>
    <row r="993" spans="1:17" x14ac:dyDescent="0.3">
      <c r="A993" t="s">
        <v>1038</v>
      </c>
      <c r="B993">
        <v>33</v>
      </c>
      <c r="C993" t="s">
        <v>18</v>
      </c>
      <c r="D993" t="s">
        <v>25</v>
      </c>
      <c r="E993" t="s">
        <v>26</v>
      </c>
      <c r="F993">
        <v>7393</v>
      </c>
      <c r="G993">
        <v>3</v>
      </c>
      <c r="H993" t="s">
        <v>21</v>
      </c>
      <c r="I993" t="s">
        <v>31</v>
      </c>
      <c r="J993">
        <v>3</v>
      </c>
      <c r="K993">
        <v>1</v>
      </c>
      <c r="L993" t="s">
        <v>27</v>
      </c>
      <c r="M993">
        <v>3</v>
      </c>
      <c r="N993">
        <v>10</v>
      </c>
      <c r="O993">
        <v>0</v>
      </c>
      <c r="P993">
        <v>1</v>
      </c>
      <c r="Q993" t="s">
        <v>27</v>
      </c>
    </row>
    <row r="994" spans="1:17" x14ac:dyDescent="0.3">
      <c r="A994" t="s">
        <v>1039</v>
      </c>
      <c r="B994">
        <v>35</v>
      </c>
      <c r="C994" t="s">
        <v>18</v>
      </c>
      <c r="D994" t="s">
        <v>74</v>
      </c>
      <c r="E994" t="s">
        <v>99</v>
      </c>
      <c r="F994">
        <v>13823</v>
      </c>
      <c r="G994">
        <v>17</v>
      </c>
      <c r="H994" t="s">
        <v>37</v>
      </c>
      <c r="I994" t="s">
        <v>31</v>
      </c>
      <c r="J994">
        <v>3</v>
      </c>
      <c r="K994">
        <v>3</v>
      </c>
      <c r="L994" t="s">
        <v>27</v>
      </c>
      <c r="M994">
        <v>2</v>
      </c>
      <c r="N994">
        <v>19</v>
      </c>
      <c r="O994">
        <v>0</v>
      </c>
      <c r="P994">
        <v>3</v>
      </c>
      <c r="Q994" t="s">
        <v>27</v>
      </c>
    </row>
    <row r="995" spans="1:17" x14ac:dyDescent="0.3">
      <c r="A995" t="s">
        <v>1040</v>
      </c>
      <c r="B995">
        <v>45</v>
      </c>
      <c r="C995" t="s">
        <v>18</v>
      </c>
      <c r="D995" t="s">
        <v>74</v>
      </c>
      <c r="E995" t="s">
        <v>75</v>
      </c>
      <c r="F995">
        <v>5354</v>
      </c>
      <c r="G995">
        <v>1</v>
      </c>
      <c r="H995" t="s">
        <v>21</v>
      </c>
      <c r="I995" t="s">
        <v>22</v>
      </c>
      <c r="J995">
        <v>3</v>
      </c>
      <c r="K995">
        <v>1</v>
      </c>
      <c r="L995" t="s">
        <v>23</v>
      </c>
      <c r="M995">
        <v>1</v>
      </c>
      <c r="N995">
        <v>2</v>
      </c>
      <c r="O995">
        <v>5</v>
      </c>
      <c r="P995">
        <v>1</v>
      </c>
      <c r="Q995" t="s">
        <v>27</v>
      </c>
    </row>
    <row r="996" spans="1:17" x14ac:dyDescent="0.3">
      <c r="A996" t="s">
        <v>1041</v>
      </c>
      <c r="B996">
        <v>21</v>
      </c>
      <c r="C996" t="s">
        <v>35</v>
      </c>
      <c r="D996" t="s">
        <v>70</v>
      </c>
      <c r="E996" t="s">
        <v>71</v>
      </c>
      <c r="F996">
        <v>12222</v>
      </c>
      <c r="G996">
        <v>3</v>
      </c>
      <c r="H996" t="s">
        <v>37</v>
      </c>
      <c r="I996" t="s">
        <v>56</v>
      </c>
      <c r="J996">
        <v>2</v>
      </c>
      <c r="K996">
        <v>4</v>
      </c>
      <c r="L996" t="s">
        <v>23</v>
      </c>
      <c r="M996">
        <v>3</v>
      </c>
      <c r="N996">
        <v>19</v>
      </c>
      <c r="O996">
        <v>1</v>
      </c>
      <c r="P996">
        <v>2</v>
      </c>
      <c r="Q996" t="s">
        <v>27</v>
      </c>
    </row>
    <row r="997" spans="1:17" x14ac:dyDescent="0.3">
      <c r="A997" t="s">
        <v>1042</v>
      </c>
      <c r="B997">
        <v>27</v>
      </c>
      <c r="C997" t="s">
        <v>35</v>
      </c>
      <c r="D997" t="s">
        <v>74</v>
      </c>
      <c r="E997" t="s">
        <v>75</v>
      </c>
      <c r="F997">
        <v>10721</v>
      </c>
      <c r="G997">
        <v>9</v>
      </c>
      <c r="H997" t="s">
        <v>21</v>
      </c>
      <c r="I997" t="s">
        <v>31</v>
      </c>
      <c r="J997">
        <v>4</v>
      </c>
      <c r="K997">
        <v>1</v>
      </c>
      <c r="L997" t="s">
        <v>27</v>
      </c>
      <c r="M997">
        <v>3</v>
      </c>
      <c r="N997">
        <v>7</v>
      </c>
      <c r="O997">
        <v>5</v>
      </c>
      <c r="P997">
        <v>1</v>
      </c>
      <c r="Q997" t="s">
        <v>27</v>
      </c>
    </row>
    <row r="998" spans="1:17" x14ac:dyDescent="0.3">
      <c r="A998" t="s">
        <v>1043</v>
      </c>
      <c r="B998">
        <v>32</v>
      </c>
      <c r="C998" t="s">
        <v>18</v>
      </c>
      <c r="D998" t="s">
        <v>19</v>
      </c>
      <c r="E998" t="s">
        <v>40</v>
      </c>
      <c r="F998">
        <v>9341</v>
      </c>
      <c r="G998">
        <v>5</v>
      </c>
      <c r="H998" t="s">
        <v>21</v>
      </c>
      <c r="I998" t="s">
        <v>22</v>
      </c>
      <c r="J998">
        <v>1</v>
      </c>
      <c r="K998">
        <v>4</v>
      </c>
      <c r="L998" t="s">
        <v>27</v>
      </c>
      <c r="M998">
        <v>3</v>
      </c>
      <c r="N998">
        <v>3</v>
      </c>
      <c r="O998">
        <v>1</v>
      </c>
      <c r="P998">
        <v>4</v>
      </c>
      <c r="Q998" t="s">
        <v>23</v>
      </c>
    </row>
    <row r="999" spans="1:17" x14ac:dyDescent="0.3">
      <c r="A999" t="s">
        <v>1044</v>
      </c>
      <c r="B999">
        <v>38</v>
      </c>
      <c r="C999" t="s">
        <v>35</v>
      </c>
      <c r="D999" t="s">
        <v>74</v>
      </c>
      <c r="E999" t="s">
        <v>75</v>
      </c>
      <c r="F999">
        <v>5228</v>
      </c>
      <c r="G999">
        <v>0</v>
      </c>
      <c r="H999" t="s">
        <v>37</v>
      </c>
      <c r="I999" t="s">
        <v>22</v>
      </c>
      <c r="J999">
        <v>4</v>
      </c>
      <c r="K999">
        <v>2</v>
      </c>
      <c r="L999" t="s">
        <v>23</v>
      </c>
      <c r="M999">
        <v>3</v>
      </c>
      <c r="N999">
        <v>22</v>
      </c>
      <c r="O999">
        <v>4</v>
      </c>
      <c r="P999">
        <v>2</v>
      </c>
      <c r="Q999" t="s">
        <v>27</v>
      </c>
    </row>
    <row r="1000" spans="1:17" x14ac:dyDescent="0.3">
      <c r="A1000" t="s">
        <v>1045</v>
      </c>
      <c r="B1000">
        <v>33</v>
      </c>
      <c r="C1000" t="s">
        <v>18</v>
      </c>
      <c r="D1000" t="s">
        <v>19</v>
      </c>
      <c r="E1000" t="s">
        <v>20</v>
      </c>
      <c r="F1000">
        <v>11130</v>
      </c>
      <c r="G1000">
        <v>0</v>
      </c>
      <c r="H1000" t="s">
        <v>33</v>
      </c>
      <c r="I1000" t="s">
        <v>31</v>
      </c>
      <c r="J1000">
        <v>3</v>
      </c>
      <c r="K1000">
        <v>3</v>
      </c>
      <c r="L1000" t="s">
        <v>27</v>
      </c>
      <c r="M1000">
        <v>3</v>
      </c>
      <c r="N1000">
        <v>27</v>
      </c>
      <c r="O1000">
        <v>3</v>
      </c>
      <c r="P1000">
        <v>3</v>
      </c>
      <c r="Q1000" t="s">
        <v>23</v>
      </c>
    </row>
    <row r="1001" spans="1:17" x14ac:dyDescent="0.3">
      <c r="A1001" t="s">
        <v>1046</v>
      </c>
      <c r="B1001">
        <v>39</v>
      </c>
      <c r="C1001" t="s">
        <v>35</v>
      </c>
      <c r="D1001" t="s">
        <v>25</v>
      </c>
      <c r="E1001" t="s">
        <v>26</v>
      </c>
      <c r="F1001">
        <v>5674</v>
      </c>
      <c r="G1001">
        <v>1</v>
      </c>
      <c r="H1001" t="s">
        <v>37</v>
      </c>
      <c r="I1001" t="s">
        <v>56</v>
      </c>
      <c r="J1001">
        <v>1</v>
      </c>
      <c r="K1001">
        <v>4</v>
      </c>
      <c r="L1001" t="s">
        <v>27</v>
      </c>
      <c r="M1001">
        <v>2</v>
      </c>
      <c r="N1001">
        <v>11</v>
      </c>
      <c r="O1001">
        <v>2</v>
      </c>
      <c r="P1001">
        <v>3</v>
      </c>
      <c r="Q1001" t="s">
        <v>27</v>
      </c>
    </row>
    <row r="1002" spans="1:17" x14ac:dyDescent="0.3">
      <c r="A1002" t="s">
        <v>1047</v>
      </c>
      <c r="B1002">
        <v>44</v>
      </c>
      <c r="C1002" t="s">
        <v>35</v>
      </c>
      <c r="D1002" t="s">
        <v>44</v>
      </c>
      <c r="E1002" t="s">
        <v>45</v>
      </c>
      <c r="F1002">
        <v>3119</v>
      </c>
      <c r="G1002">
        <v>1</v>
      </c>
      <c r="H1002" t="s">
        <v>21</v>
      </c>
      <c r="I1002" t="s">
        <v>56</v>
      </c>
      <c r="J1002">
        <v>3</v>
      </c>
      <c r="K1002">
        <v>2</v>
      </c>
      <c r="L1002" t="s">
        <v>27</v>
      </c>
      <c r="M1002">
        <v>2</v>
      </c>
      <c r="N1002">
        <v>8</v>
      </c>
      <c r="O1002">
        <v>0</v>
      </c>
      <c r="P1002">
        <v>2</v>
      </c>
      <c r="Q1002" t="s">
        <v>27</v>
      </c>
    </row>
    <row r="1003" spans="1:17" x14ac:dyDescent="0.3">
      <c r="A1003" t="s">
        <v>1048</v>
      </c>
      <c r="B1003">
        <v>39</v>
      </c>
      <c r="C1003" t="s">
        <v>35</v>
      </c>
      <c r="D1003" t="s">
        <v>70</v>
      </c>
      <c r="E1003" t="s">
        <v>71</v>
      </c>
      <c r="F1003">
        <v>6331</v>
      </c>
      <c r="G1003">
        <v>1</v>
      </c>
      <c r="H1003" t="s">
        <v>37</v>
      </c>
      <c r="I1003" t="s">
        <v>22</v>
      </c>
      <c r="J1003">
        <v>3</v>
      </c>
      <c r="K1003">
        <v>3</v>
      </c>
      <c r="L1003" t="s">
        <v>27</v>
      </c>
      <c r="M1003">
        <v>4</v>
      </c>
      <c r="N1003">
        <v>29</v>
      </c>
      <c r="O1003">
        <v>3</v>
      </c>
      <c r="P1003">
        <v>1</v>
      </c>
      <c r="Q1003" t="s">
        <v>23</v>
      </c>
    </row>
    <row r="1004" spans="1:17" x14ac:dyDescent="0.3">
      <c r="A1004" t="s">
        <v>1049</v>
      </c>
      <c r="B1004">
        <v>36</v>
      </c>
      <c r="C1004" t="s">
        <v>35</v>
      </c>
      <c r="D1004" t="s">
        <v>25</v>
      </c>
      <c r="E1004" t="s">
        <v>26</v>
      </c>
      <c r="F1004">
        <v>12962</v>
      </c>
      <c r="G1004">
        <v>10</v>
      </c>
      <c r="H1004" t="s">
        <v>37</v>
      </c>
      <c r="I1004" t="s">
        <v>22</v>
      </c>
      <c r="J1004">
        <v>3</v>
      </c>
      <c r="K1004">
        <v>4</v>
      </c>
      <c r="L1004" t="s">
        <v>27</v>
      </c>
      <c r="M1004">
        <v>3</v>
      </c>
      <c r="N1004">
        <v>8</v>
      </c>
      <c r="O1004">
        <v>3</v>
      </c>
      <c r="P1004">
        <v>3</v>
      </c>
      <c r="Q1004" t="s">
        <v>27</v>
      </c>
    </row>
    <row r="1005" spans="1:17" x14ac:dyDescent="0.3">
      <c r="A1005" t="s">
        <v>1050</v>
      </c>
      <c r="B1005">
        <v>37</v>
      </c>
      <c r="C1005" t="s">
        <v>18</v>
      </c>
      <c r="D1005" t="s">
        <v>70</v>
      </c>
      <c r="E1005" t="s">
        <v>144</v>
      </c>
      <c r="F1005">
        <v>8536</v>
      </c>
      <c r="G1005">
        <v>2</v>
      </c>
      <c r="H1005" t="s">
        <v>21</v>
      </c>
      <c r="I1005" t="s">
        <v>31</v>
      </c>
      <c r="J1005">
        <v>2</v>
      </c>
      <c r="K1005">
        <v>1</v>
      </c>
      <c r="L1005" t="s">
        <v>27</v>
      </c>
      <c r="M1005">
        <v>3</v>
      </c>
      <c r="N1005">
        <v>15</v>
      </c>
      <c r="O1005">
        <v>5</v>
      </c>
      <c r="P1005">
        <v>4</v>
      </c>
      <c r="Q1005" t="s">
        <v>27</v>
      </c>
    </row>
    <row r="1006" spans="1:17" x14ac:dyDescent="0.3">
      <c r="A1006" t="s">
        <v>1051</v>
      </c>
      <c r="B1006">
        <v>49</v>
      </c>
      <c r="C1006" t="s">
        <v>35</v>
      </c>
      <c r="D1006" t="s">
        <v>74</v>
      </c>
      <c r="E1006" t="s">
        <v>99</v>
      </c>
      <c r="F1006">
        <v>7789</v>
      </c>
      <c r="G1006">
        <v>2</v>
      </c>
      <c r="H1006" t="s">
        <v>37</v>
      </c>
      <c r="I1006" t="s">
        <v>22</v>
      </c>
      <c r="J1006">
        <v>4</v>
      </c>
      <c r="K1006">
        <v>1</v>
      </c>
      <c r="L1006" t="s">
        <v>23</v>
      </c>
      <c r="M1006">
        <v>3</v>
      </c>
      <c r="N1006">
        <v>9</v>
      </c>
      <c r="O1006">
        <v>3</v>
      </c>
      <c r="P1006">
        <v>4</v>
      </c>
      <c r="Q1006" t="s">
        <v>27</v>
      </c>
    </row>
    <row r="1007" spans="1:17" x14ac:dyDescent="0.3">
      <c r="A1007" t="s">
        <v>1052</v>
      </c>
      <c r="B1007">
        <v>34</v>
      </c>
      <c r="C1007" t="s">
        <v>35</v>
      </c>
      <c r="D1007" t="s">
        <v>74</v>
      </c>
      <c r="E1007" t="s">
        <v>75</v>
      </c>
      <c r="F1007">
        <v>5198</v>
      </c>
      <c r="G1007">
        <v>3</v>
      </c>
      <c r="H1007" t="s">
        <v>33</v>
      </c>
      <c r="I1007" t="s">
        <v>31</v>
      </c>
      <c r="J1007">
        <v>2</v>
      </c>
      <c r="K1007">
        <v>3</v>
      </c>
      <c r="L1007" t="s">
        <v>23</v>
      </c>
      <c r="M1007">
        <v>3</v>
      </c>
      <c r="N1007">
        <v>21</v>
      </c>
      <c r="O1007">
        <v>5</v>
      </c>
      <c r="P1007">
        <v>3</v>
      </c>
      <c r="Q1007" t="s">
        <v>23</v>
      </c>
    </row>
    <row r="1008" spans="1:17" x14ac:dyDescent="0.3">
      <c r="A1008" t="s">
        <v>1053</v>
      </c>
      <c r="B1008">
        <v>29</v>
      </c>
      <c r="C1008" t="s">
        <v>35</v>
      </c>
      <c r="D1008" t="s">
        <v>70</v>
      </c>
      <c r="E1008" t="s">
        <v>71</v>
      </c>
      <c r="F1008">
        <v>11273</v>
      </c>
      <c r="G1008">
        <v>10</v>
      </c>
      <c r="H1008" t="s">
        <v>37</v>
      </c>
      <c r="I1008" t="s">
        <v>22</v>
      </c>
      <c r="J1008">
        <v>2</v>
      </c>
      <c r="K1008">
        <v>3</v>
      </c>
      <c r="L1008" t="s">
        <v>27</v>
      </c>
      <c r="M1008">
        <v>1</v>
      </c>
      <c r="N1008">
        <v>7</v>
      </c>
      <c r="O1008">
        <v>1</v>
      </c>
      <c r="P1008">
        <v>1</v>
      </c>
      <c r="Q1008" t="s">
        <v>27</v>
      </c>
    </row>
    <row r="1009" spans="1:17" x14ac:dyDescent="0.3">
      <c r="A1009" t="s">
        <v>1054</v>
      </c>
      <c r="B1009">
        <v>32</v>
      </c>
      <c r="C1009" t="s">
        <v>35</v>
      </c>
      <c r="D1009" t="s">
        <v>19</v>
      </c>
      <c r="E1009" t="s">
        <v>40</v>
      </c>
      <c r="F1009">
        <v>9384</v>
      </c>
      <c r="G1009">
        <v>2</v>
      </c>
      <c r="H1009" t="s">
        <v>37</v>
      </c>
      <c r="I1009" t="s">
        <v>56</v>
      </c>
      <c r="J1009">
        <v>3</v>
      </c>
      <c r="K1009">
        <v>2</v>
      </c>
      <c r="L1009" t="s">
        <v>27</v>
      </c>
      <c r="M1009">
        <v>3</v>
      </c>
      <c r="N1009">
        <v>6</v>
      </c>
      <c r="O1009">
        <v>5</v>
      </c>
      <c r="P1009">
        <v>1</v>
      </c>
      <c r="Q1009" t="s">
        <v>27</v>
      </c>
    </row>
    <row r="1010" spans="1:17" x14ac:dyDescent="0.3">
      <c r="A1010" t="s">
        <v>1055</v>
      </c>
      <c r="B1010">
        <v>18</v>
      </c>
      <c r="C1010" t="s">
        <v>35</v>
      </c>
      <c r="D1010" t="s">
        <v>74</v>
      </c>
      <c r="E1010" t="s">
        <v>99</v>
      </c>
      <c r="F1010">
        <v>6353</v>
      </c>
      <c r="G1010">
        <v>0</v>
      </c>
      <c r="H1010" t="s">
        <v>21</v>
      </c>
      <c r="I1010" t="s">
        <v>22</v>
      </c>
      <c r="J1010">
        <v>3</v>
      </c>
      <c r="K1010">
        <v>3</v>
      </c>
      <c r="L1010" t="s">
        <v>23</v>
      </c>
      <c r="M1010">
        <v>4</v>
      </c>
      <c r="N1010">
        <v>8</v>
      </c>
      <c r="O1010">
        <v>5</v>
      </c>
      <c r="P1010">
        <v>4</v>
      </c>
      <c r="Q1010" t="s">
        <v>23</v>
      </c>
    </row>
    <row r="1011" spans="1:17" x14ac:dyDescent="0.3">
      <c r="A1011" t="s">
        <v>1056</v>
      </c>
      <c r="B1011">
        <v>45</v>
      </c>
      <c r="C1011" t="s">
        <v>35</v>
      </c>
      <c r="D1011" t="s">
        <v>25</v>
      </c>
      <c r="E1011" t="s">
        <v>26</v>
      </c>
      <c r="F1011">
        <v>7462</v>
      </c>
      <c r="G1011">
        <v>1</v>
      </c>
      <c r="H1011" t="s">
        <v>33</v>
      </c>
      <c r="I1011" t="s">
        <v>56</v>
      </c>
      <c r="J1011">
        <v>2</v>
      </c>
      <c r="K1011">
        <v>4</v>
      </c>
      <c r="L1011" t="s">
        <v>27</v>
      </c>
      <c r="M1011">
        <v>3</v>
      </c>
      <c r="N1011">
        <v>16</v>
      </c>
      <c r="O1011">
        <v>4</v>
      </c>
      <c r="P1011">
        <v>2</v>
      </c>
      <c r="Q1011" t="s">
        <v>27</v>
      </c>
    </row>
    <row r="1012" spans="1:17" x14ac:dyDescent="0.3">
      <c r="A1012" t="s">
        <v>1057</v>
      </c>
      <c r="B1012">
        <v>28</v>
      </c>
      <c r="C1012" t="s">
        <v>35</v>
      </c>
      <c r="D1012" t="s">
        <v>74</v>
      </c>
      <c r="E1012" t="s">
        <v>75</v>
      </c>
      <c r="F1012">
        <v>4916</v>
      </c>
      <c r="G1012">
        <v>1</v>
      </c>
      <c r="H1012" t="s">
        <v>37</v>
      </c>
      <c r="I1012" t="s">
        <v>56</v>
      </c>
      <c r="J1012">
        <v>3</v>
      </c>
      <c r="K1012">
        <v>2</v>
      </c>
      <c r="L1012" t="s">
        <v>27</v>
      </c>
      <c r="M1012">
        <v>3</v>
      </c>
      <c r="N1012">
        <v>13</v>
      </c>
      <c r="O1012">
        <v>5</v>
      </c>
      <c r="P1012">
        <v>4</v>
      </c>
      <c r="Q1012" t="s">
        <v>27</v>
      </c>
    </row>
    <row r="1013" spans="1:17" x14ac:dyDescent="0.3">
      <c r="A1013" t="s">
        <v>1058</v>
      </c>
      <c r="B1013">
        <v>44</v>
      </c>
      <c r="C1013" t="s">
        <v>18</v>
      </c>
      <c r="D1013" t="s">
        <v>19</v>
      </c>
      <c r="E1013" t="s">
        <v>40</v>
      </c>
      <c r="F1013">
        <v>8831</v>
      </c>
      <c r="G1013">
        <v>0</v>
      </c>
      <c r="H1013" t="s">
        <v>37</v>
      </c>
      <c r="I1013" t="s">
        <v>22</v>
      </c>
      <c r="J1013">
        <v>2</v>
      </c>
      <c r="K1013">
        <v>2</v>
      </c>
      <c r="L1013" t="s">
        <v>27</v>
      </c>
      <c r="M1013">
        <v>3</v>
      </c>
      <c r="N1013">
        <v>24</v>
      </c>
      <c r="O1013">
        <v>3</v>
      </c>
      <c r="P1013">
        <v>4</v>
      </c>
      <c r="Q1013" t="s">
        <v>27</v>
      </c>
    </row>
    <row r="1014" spans="1:17" x14ac:dyDescent="0.3">
      <c r="A1014" t="s">
        <v>1059</v>
      </c>
      <c r="B1014">
        <v>19</v>
      </c>
      <c r="C1014" t="s">
        <v>35</v>
      </c>
      <c r="D1014" t="s">
        <v>25</v>
      </c>
      <c r="E1014" t="s">
        <v>26</v>
      </c>
      <c r="F1014">
        <v>8372</v>
      </c>
      <c r="G1014">
        <v>1</v>
      </c>
      <c r="H1014" t="s">
        <v>21</v>
      </c>
      <c r="I1014" t="s">
        <v>31</v>
      </c>
      <c r="J1014">
        <v>4</v>
      </c>
      <c r="K1014">
        <v>2</v>
      </c>
      <c r="L1014" t="s">
        <v>27</v>
      </c>
      <c r="M1014">
        <v>1</v>
      </c>
      <c r="N1014">
        <v>23</v>
      </c>
      <c r="O1014">
        <v>4</v>
      </c>
      <c r="P1014">
        <v>1</v>
      </c>
      <c r="Q1014" t="s">
        <v>27</v>
      </c>
    </row>
    <row r="1015" spans="1:17" x14ac:dyDescent="0.3">
      <c r="A1015" t="s">
        <v>1060</v>
      </c>
      <c r="B1015">
        <v>28</v>
      </c>
      <c r="C1015" t="s">
        <v>18</v>
      </c>
      <c r="D1015" t="s">
        <v>25</v>
      </c>
      <c r="E1015" t="s">
        <v>61</v>
      </c>
      <c r="F1015">
        <v>9371</v>
      </c>
      <c r="G1015">
        <v>4</v>
      </c>
      <c r="H1015" t="s">
        <v>37</v>
      </c>
      <c r="I1015" t="s">
        <v>31</v>
      </c>
      <c r="J1015">
        <v>4</v>
      </c>
      <c r="K1015">
        <v>2</v>
      </c>
      <c r="L1015" t="s">
        <v>27</v>
      </c>
      <c r="M1015">
        <v>3</v>
      </c>
      <c r="N1015">
        <v>27</v>
      </c>
      <c r="O1015">
        <v>2</v>
      </c>
      <c r="P1015">
        <v>2</v>
      </c>
      <c r="Q1015" t="s">
        <v>27</v>
      </c>
    </row>
    <row r="1016" spans="1:17" x14ac:dyDescent="0.3">
      <c r="A1016" t="s">
        <v>1061</v>
      </c>
      <c r="B1016">
        <v>26</v>
      </c>
      <c r="C1016" t="s">
        <v>35</v>
      </c>
      <c r="D1016" t="s">
        <v>74</v>
      </c>
      <c r="E1016" t="s">
        <v>20</v>
      </c>
      <c r="F1016">
        <v>9838</v>
      </c>
      <c r="G1016">
        <v>1</v>
      </c>
      <c r="H1016" t="s">
        <v>21</v>
      </c>
      <c r="I1016" t="s">
        <v>31</v>
      </c>
      <c r="J1016">
        <v>3</v>
      </c>
      <c r="K1016">
        <v>1</v>
      </c>
      <c r="L1016" t="s">
        <v>23</v>
      </c>
      <c r="M1016">
        <v>3</v>
      </c>
      <c r="N1016">
        <v>27</v>
      </c>
      <c r="O1016">
        <v>0</v>
      </c>
      <c r="P1016">
        <v>2</v>
      </c>
      <c r="Q1016" t="s">
        <v>27</v>
      </c>
    </row>
    <row r="1017" spans="1:17" x14ac:dyDescent="0.3">
      <c r="A1017" t="s">
        <v>1062</v>
      </c>
      <c r="B1017">
        <v>34</v>
      </c>
      <c r="C1017" t="s">
        <v>35</v>
      </c>
      <c r="D1017" t="s">
        <v>44</v>
      </c>
      <c r="E1017" t="s">
        <v>20</v>
      </c>
      <c r="F1017">
        <v>16802</v>
      </c>
      <c r="G1017">
        <v>11</v>
      </c>
      <c r="H1017" t="s">
        <v>37</v>
      </c>
      <c r="I1017" t="s">
        <v>31</v>
      </c>
      <c r="J1017">
        <v>2</v>
      </c>
      <c r="K1017">
        <v>2</v>
      </c>
      <c r="L1017" t="s">
        <v>27</v>
      </c>
      <c r="M1017">
        <v>1</v>
      </c>
      <c r="N1017">
        <v>22</v>
      </c>
      <c r="O1017">
        <v>6</v>
      </c>
      <c r="P1017">
        <v>3</v>
      </c>
      <c r="Q1017" t="s">
        <v>27</v>
      </c>
    </row>
    <row r="1018" spans="1:17" x14ac:dyDescent="0.3">
      <c r="A1018" t="s">
        <v>1063</v>
      </c>
      <c r="B1018">
        <v>35</v>
      </c>
      <c r="C1018" t="s">
        <v>35</v>
      </c>
      <c r="D1018" t="s">
        <v>19</v>
      </c>
      <c r="E1018" t="s">
        <v>40</v>
      </c>
      <c r="F1018">
        <v>6015</v>
      </c>
      <c r="G1018">
        <v>0</v>
      </c>
      <c r="H1018" t="s">
        <v>21</v>
      </c>
      <c r="I1018" t="s">
        <v>22</v>
      </c>
      <c r="J1018">
        <v>4</v>
      </c>
      <c r="K1018">
        <v>3</v>
      </c>
      <c r="L1018" t="s">
        <v>23</v>
      </c>
      <c r="M1018">
        <v>3</v>
      </c>
      <c r="N1018">
        <v>22</v>
      </c>
      <c r="O1018">
        <v>1</v>
      </c>
      <c r="P1018">
        <v>4</v>
      </c>
      <c r="Q1018" t="s">
        <v>23</v>
      </c>
    </row>
    <row r="1019" spans="1:17" x14ac:dyDescent="0.3">
      <c r="A1019" t="s">
        <v>1064</v>
      </c>
      <c r="B1019">
        <v>33</v>
      </c>
      <c r="C1019" t="s">
        <v>35</v>
      </c>
      <c r="D1019" t="s">
        <v>25</v>
      </c>
      <c r="E1019" t="s">
        <v>26</v>
      </c>
      <c r="F1019">
        <v>8918</v>
      </c>
      <c r="G1019">
        <v>4</v>
      </c>
      <c r="H1019" t="s">
        <v>37</v>
      </c>
      <c r="I1019" t="s">
        <v>31</v>
      </c>
      <c r="J1019">
        <v>4</v>
      </c>
      <c r="K1019">
        <v>2</v>
      </c>
      <c r="L1019" t="s">
        <v>27</v>
      </c>
      <c r="M1019">
        <v>2</v>
      </c>
      <c r="N1019">
        <v>22</v>
      </c>
      <c r="O1019">
        <v>3</v>
      </c>
      <c r="P1019">
        <v>3</v>
      </c>
      <c r="Q1019" t="s">
        <v>23</v>
      </c>
    </row>
    <row r="1020" spans="1:17" x14ac:dyDescent="0.3">
      <c r="A1020" t="s">
        <v>1065</v>
      </c>
      <c r="B1020">
        <v>37</v>
      </c>
      <c r="C1020" t="s">
        <v>35</v>
      </c>
      <c r="D1020" t="s">
        <v>44</v>
      </c>
      <c r="E1020" t="s">
        <v>45</v>
      </c>
      <c r="F1020">
        <v>10291</v>
      </c>
      <c r="G1020">
        <v>8</v>
      </c>
      <c r="H1020" t="s">
        <v>37</v>
      </c>
      <c r="I1020" t="s">
        <v>22</v>
      </c>
      <c r="J1020">
        <v>3</v>
      </c>
      <c r="K1020">
        <v>4</v>
      </c>
      <c r="L1020" t="s">
        <v>27</v>
      </c>
      <c r="M1020">
        <v>2</v>
      </c>
      <c r="N1020">
        <v>3</v>
      </c>
      <c r="O1020">
        <v>6</v>
      </c>
      <c r="P1020">
        <v>1</v>
      </c>
      <c r="Q1020" t="s">
        <v>27</v>
      </c>
    </row>
    <row r="1021" spans="1:17" x14ac:dyDescent="0.3">
      <c r="A1021" t="s">
        <v>1066</v>
      </c>
      <c r="B1021">
        <v>24</v>
      </c>
      <c r="C1021" t="s">
        <v>18</v>
      </c>
      <c r="D1021" t="s">
        <v>74</v>
      </c>
      <c r="E1021" t="s">
        <v>75</v>
      </c>
      <c r="F1021">
        <v>6684</v>
      </c>
      <c r="G1021">
        <v>0</v>
      </c>
      <c r="H1021" t="s">
        <v>21</v>
      </c>
      <c r="I1021" t="s">
        <v>31</v>
      </c>
      <c r="J1021">
        <v>3</v>
      </c>
      <c r="K1021">
        <v>3</v>
      </c>
      <c r="L1021" t="s">
        <v>27</v>
      </c>
      <c r="M1021">
        <v>2</v>
      </c>
      <c r="N1021">
        <v>27</v>
      </c>
      <c r="O1021">
        <v>0</v>
      </c>
      <c r="P1021">
        <v>1</v>
      </c>
      <c r="Q1021" t="s">
        <v>27</v>
      </c>
    </row>
    <row r="1022" spans="1:17" x14ac:dyDescent="0.3">
      <c r="A1022" t="s">
        <v>1067</v>
      </c>
      <c r="B1022">
        <v>25</v>
      </c>
      <c r="C1022" t="s">
        <v>35</v>
      </c>
      <c r="D1022" t="s">
        <v>19</v>
      </c>
      <c r="E1022" t="s">
        <v>40</v>
      </c>
      <c r="F1022">
        <v>7674</v>
      </c>
      <c r="G1022">
        <v>7</v>
      </c>
      <c r="H1022" t="s">
        <v>21</v>
      </c>
      <c r="I1022" t="s">
        <v>22</v>
      </c>
      <c r="J1022">
        <v>3</v>
      </c>
      <c r="K1022">
        <v>4</v>
      </c>
      <c r="L1022" t="s">
        <v>27</v>
      </c>
      <c r="M1022">
        <v>3</v>
      </c>
      <c r="N1022">
        <v>26</v>
      </c>
      <c r="O1022">
        <v>2</v>
      </c>
      <c r="P1022">
        <v>4</v>
      </c>
      <c r="Q1022" t="s">
        <v>23</v>
      </c>
    </row>
    <row r="1023" spans="1:17" x14ac:dyDescent="0.3">
      <c r="A1023" t="s">
        <v>1068</v>
      </c>
      <c r="B1023">
        <v>28</v>
      </c>
      <c r="C1023" t="s">
        <v>35</v>
      </c>
      <c r="D1023" t="s">
        <v>70</v>
      </c>
      <c r="E1023" t="s">
        <v>20</v>
      </c>
      <c r="F1023">
        <v>12077</v>
      </c>
      <c r="G1023">
        <v>3</v>
      </c>
      <c r="H1023" t="s">
        <v>46</v>
      </c>
      <c r="I1023" t="s">
        <v>22</v>
      </c>
      <c r="J1023">
        <v>2</v>
      </c>
      <c r="K1023">
        <v>3</v>
      </c>
      <c r="L1023" t="s">
        <v>27</v>
      </c>
      <c r="M1023">
        <v>4</v>
      </c>
      <c r="N1023">
        <v>28</v>
      </c>
      <c r="O1023">
        <v>2</v>
      </c>
      <c r="P1023">
        <v>4</v>
      </c>
      <c r="Q1023" t="s">
        <v>27</v>
      </c>
    </row>
    <row r="1024" spans="1:17" x14ac:dyDescent="0.3">
      <c r="A1024" t="s">
        <v>1069</v>
      </c>
      <c r="B1024">
        <v>42</v>
      </c>
      <c r="C1024" t="s">
        <v>18</v>
      </c>
      <c r="D1024" t="s">
        <v>44</v>
      </c>
      <c r="E1024" t="s">
        <v>54</v>
      </c>
      <c r="F1024">
        <v>11910</v>
      </c>
      <c r="G1024">
        <v>9</v>
      </c>
      <c r="H1024" t="s">
        <v>33</v>
      </c>
      <c r="I1024" t="s">
        <v>22</v>
      </c>
      <c r="J1024">
        <v>3</v>
      </c>
      <c r="K1024">
        <v>1</v>
      </c>
      <c r="L1024" t="s">
        <v>27</v>
      </c>
      <c r="M1024">
        <v>3</v>
      </c>
      <c r="N1024">
        <v>1</v>
      </c>
      <c r="O1024">
        <v>2</v>
      </c>
      <c r="P1024">
        <v>3</v>
      </c>
      <c r="Q1024" t="s">
        <v>27</v>
      </c>
    </row>
    <row r="1025" spans="1:17" x14ac:dyDescent="0.3">
      <c r="A1025" t="s">
        <v>1070</v>
      </c>
      <c r="B1025">
        <v>42</v>
      </c>
      <c r="C1025" t="s">
        <v>35</v>
      </c>
      <c r="D1025" t="s">
        <v>19</v>
      </c>
      <c r="E1025" t="s">
        <v>36</v>
      </c>
      <c r="F1025">
        <v>8537</v>
      </c>
      <c r="G1025">
        <v>3</v>
      </c>
      <c r="H1025" t="s">
        <v>37</v>
      </c>
      <c r="I1025" t="s">
        <v>31</v>
      </c>
      <c r="J1025">
        <v>4</v>
      </c>
      <c r="K1025">
        <v>3</v>
      </c>
      <c r="L1025" t="s">
        <v>27</v>
      </c>
      <c r="M1025">
        <v>1</v>
      </c>
      <c r="N1025">
        <v>8</v>
      </c>
      <c r="O1025">
        <v>1</v>
      </c>
      <c r="P1025">
        <v>3</v>
      </c>
      <c r="Q1025" t="s">
        <v>27</v>
      </c>
    </row>
    <row r="1026" spans="1:17" x14ac:dyDescent="0.3">
      <c r="A1026" t="s">
        <v>1071</v>
      </c>
      <c r="B1026">
        <v>40</v>
      </c>
      <c r="C1026" t="s">
        <v>35</v>
      </c>
      <c r="D1026" t="s">
        <v>44</v>
      </c>
      <c r="E1026" t="s">
        <v>45</v>
      </c>
      <c r="F1026">
        <v>10317</v>
      </c>
      <c r="G1026">
        <v>6</v>
      </c>
      <c r="H1026" t="s">
        <v>37</v>
      </c>
      <c r="I1026" t="s">
        <v>22</v>
      </c>
      <c r="J1026">
        <v>1</v>
      </c>
      <c r="K1026">
        <v>1</v>
      </c>
      <c r="L1026" t="s">
        <v>27</v>
      </c>
      <c r="M1026">
        <v>2</v>
      </c>
      <c r="N1026">
        <v>11</v>
      </c>
      <c r="O1026">
        <v>1</v>
      </c>
      <c r="P1026">
        <v>1</v>
      </c>
      <c r="Q1026" t="s">
        <v>27</v>
      </c>
    </row>
    <row r="1027" spans="1:17" x14ac:dyDescent="0.3">
      <c r="A1027" t="s">
        <v>1072</v>
      </c>
      <c r="B1027">
        <v>36</v>
      </c>
      <c r="C1027" t="s">
        <v>18</v>
      </c>
      <c r="D1027" t="s">
        <v>25</v>
      </c>
      <c r="E1027" t="s">
        <v>26</v>
      </c>
      <c r="F1027">
        <v>9522</v>
      </c>
      <c r="G1027">
        <v>2</v>
      </c>
      <c r="H1027" t="s">
        <v>21</v>
      </c>
      <c r="I1027" t="s">
        <v>31</v>
      </c>
      <c r="J1027">
        <v>4</v>
      </c>
      <c r="K1027">
        <v>1</v>
      </c>
      <c r="L1027" t="s">
        <v>23</v>
      </c>
      <c r="M1027">
        <v>4</v>
      </c>
      <c r="N1027">
        <v>7</v>
      </c>
      <c r="O1027">
        <v>1</v>
      </c>
      <c r="P1027">
        <v>3</v>
      </c>
      <c r="Q1027" t="s">
        <v>27</v>
      </c>
    </row>
    <row r="1028" spans="1:17" x14ac:dyDescent="0.3">
      <c r="A1028" t="s">
        <v>1073</v>
      </c>
      <c r="B1028">
        <v>30</v>
      </c>
      <c r="C1028" t="s">
        <v>18</v>
      </c>
      <c r="D1028" t="s">
        <v>74</v>
      </c>
      <c r="E1028" t="s">
        <v>75</v>
      </c>
      <c r="F1028">
        <v>6471</v>
      </c>
      <c r="G1028">
        <v>1</v>
      </c>
      <c r="H1028" t="s">
        <v>33</v>
      </c>
      <c r="I1028" t="s">
        <v>31</v>
      </c>
      <c r="J1028">
        <v>1</v>
      </c>
      <c r="K1028">
        <v>2</v>
      </c>
      <c r="L1028" t="s">
        <v>27</v>
      </c>
      <c r="M1028">
        <v>2</v>
      </c>
      <c r="N1028">
        <v>8</v>
      </c>
      <c r="O1028">
        <v>1</v>
      </c>
      <c r="P1028">
        <v>3</v>
      </c>
      <c r="Q1028" t="s">
        <v>27</v>
      </c>
    </row>
    <row r="1029" spans="1:17" x14ac:dyDescent="0.3">
      <c r="A1029" t="s">
        <v>1074</v>
      </c>
      <c r="B1029">
        <v>32</v>
      </c>
      <c r="C1029" t="s">
        <v>18</v>
      </c>
      <c r="D1029" t="s">
        <v>44</v>
      </c>
      <c r="E1029" t="s">
        <v>54</v>
      </c>
      <c r="F1029">
        <v>7404</v>
      </c>
      <c r="G1029">
        <v>5</v>
      </c>
      <c r="H1029" t="s">
        <v>21</v>
      </c>
      <c r="I1029" t="s">
        <v>56</v>
      </c>
      <c r="J1029">
        <v>2</v>
      </c>
      <c r="K1029">
        <v>4</v>
      </c>
      <c r="L1029" t="s">
        <v>23</v>
      </c>
      <c r="M1029">
        <v>3</v>
      </c>
      <c r="N1029">
        <v>25</v>
      </c>
      <c r="O1029">
        <v>1</v>
      </c>
      <c r="P1029">
        <v>4</v>
      </c>
      <c r="Q1029" t="s">
        <v>27</v>
      </c>
    </row>
    <row r="1030" spans="1:17" x14ac:dyDescent="0.3">
      <c r="A1030" t="s">
        <v>1075</v>
      </c>
      <c r="B1030">
        <v>22</v>
      </c>
      <c r="C1030" t="s">
        <v>35</v>
      </c>
      <c r="D1030" t="s">
        <v>44</v>
      </c>
      <c r="E1030" t="s">
        <v>54</v>
      </c>
      <c r="F1030">
        <v>8029</v>
      </c>
      <c r="G1030">
        <v>3</v>
      </c>
      <c r="H1030" t="s">
        <v>46</v>
      </c>
      <c r="I1030" t="s">
        <v>22</v>
      </c>
      <c r="J1030">
        <v>2</v>
      </c>
      <c r="K1030">
        <v>3</v>
      </c>
      <c r="L1030" t="s">
        <v>27</v>
      </c>
      <c r="M1030">
        <v>3</v>
      </c>
      <c r="N1030">
        <v>26</v>
      </c>
      <c r="O1030">
        <v>1</v>
      </c>
      <c r="P1030">
        <v>2</v>
      </c>
      <c r="Q1030" t="s">
        <v>27</v>
      </c>
    </row>
    <row r="1031" spans="1:17" x14ac:dyDescent="0.3">
      <c r="A1031" t="s">
        <v>1076</v>
      </c>
      <c r="B1031">
        <v>26</v>
      </c>
      <c r="C1031" t="s">
        <v>35</v>
      </c>
      <c r="D1031" t="s">
        <v>25</v>
      </c>
      <c r="E1031" t="s">
        <v>61</v>
      </c>
      <c r="F1031">
        <v>8327</v>
      </c>
      <c r="G1031">
        <v>8</v>
      </c>
      <c r="H1031" t="s">
        <v>37</v>
      </c>
      <c r="I1031" t="s">
        <v>22</v>
      </c>
      <c r="J1031">
        <v>1</v>
      </c>
      <c r="K1031">
        <v>3</v>
      </c>
      <c r="L1031" t="s">
        <v>23</v>
      </c>
      <c r="M1031">
        <v>3</v>
      </c>
      <c r="N1031">
        <v>14</v>
      </c>
      <c r="O1031">
        <v>0</v>
      </c>
      <c r="P1031">
        <v>1</v>
      </c>
      <c r="Q1031" t="s">
        <v>27</v>
      </c>
    </row>
    <row r="1032" spans="1:17" x14ac:dyDescent="0.3">
      <c r="A1032" t="s">
        <v>1077</v>
      </c>
      <c r="B1032">
        <v>40</v>
      </c>
      <c r="C1032" t="s">
        <v>18</v>
      </c>
      <c r="D1032" t="s">
        <v>19</v>
      </c>
      <c r="E1032" t="s">
        <v>20</v>
      </c>
      <c r="F1032">
        <v>12085</v>
      </c>
      <c r="G1032">
        <v>3</v>
      </c>
      <c r="H1032" t="s">
        <v>21</v>
      </c>
      <c r="I1032" t="s">
        <v>56</v>
      </c>
      <c r="J1032">
        <v>2</v>
      </c>
      <c r="K1032">
        <v>4</v>
      </c>
      <c r="L1032" t="s">
        <v>27</v>
      </c>
      <c r="M1032">
        <v>2</v>
      </c>
      <c r="N1032">
        <v>27</v>
      </c>
      <c r="O1032">
        <v>2</v>
      </c>
      <c r="P1032">
        <v>3</v>
      </c>
      <c r="Q1032" t="s">
        <v>27</v>
      </c>
    </row>
    <row r="1033" spans="1:17" x14ac:dyDescent="0.3">
      <c r="A1033" t="s">
        <v>1078</v>
      </c>
      <c r="B1033">
        <v>37</v>
      </c>
      <c r="C1033" t="s">
        <v>35</v>
      </c>
      <c r="D1033" t="s">
        <v>19</v>
      </c>
      <c r="E1033" t="s">
        <v>36</v>
      </c>
      <c r="F1033">
        <v>10101</v>
      </c>
      <c r="G1033">
        <v>8</v>
      </c>
      <c r="H1033" t="s">
        <v>46</v>
      </c>
      <c r="I1033" t="s">
        <v>56</v>
      </c>
      <c r="J1033">
        <v>3</v>
      </c>
      <c r="K1033">
        <v>2</v>
      </c>
      <c r="L1033" t="s">
        <v>23</v>
      </c>
      <c r="M1033">
        <v>3</v>
      </c>
      <c r="N1033">
        <v>10</v>
      </c>
      <c r="O1033">
        <v>6</v>
      </c>
      <c r="P1033">
        <v>1</v>
      </c>
      <c r="Q1033" t="s">
        <v>27</v>
      </c>
    </row>
    <row r="1034" spans="1:17" x14ac:dyDescent="0.3">
      <c r="A1034" t="s">
        <v>1079</v>
      </c>
      <c r="B1034">
        <v>27</v>
      </c>
      <c r="C1034" t="s">
        <v>18</v>
      </c>
      <c r="D1034" t="s">
        <v>25</v>
      </c>
      <c r="E1034" t="s">
        <v>61</v>
      </c>
      <c r="F1034">
        <v>4593</v>
      </c>
      <c r="G1034">
        <v>1</v>
      </c>
      <c r="H1034" t="s">
        <v>37</v>
      </c>
      <c r="I1034" t="s">
        <v>31</v>
      </c>
      <c r="J1034">
        <v>4</v>
      </c>
      <c r="K1034">
        <v>2</v>
      </c>
      <c r="L1034" t="s">
        <v>27</v>
      </c>
      <c r="M1034">
        <v>3</v>
      </c>
      <c r="N1034">
        <v>17</v>
      </c>
      <c r="O1034">
        <v>5</v>
      </c>
      <c r="P1034">
        <v>3</v>
      </c>
      <c r="Q1034" t="s">
        <v>27</v>
      </c>
    </row>
    <row r="1035" spans="1:17" x14ac:dyDescent="0.3">
      <c r="A1035" t="s">
        <v>1080</v>
      </c>
      <c r="B1035">
        <v>45</v>
      </c>
      <c r="C1035" t="s">
        <v>18</v>
      </c>
      <c r="D1035" t="s">
        <v>44</v>
      </c>
      <c r="E1035" t="s">
        <v>45</v>
      </c>
      <c r="F1035">
        <v>7685</v>
      </c>
      <c r="G1035">
        <v>1</v>
      </c>
      <c r="H1035" t="s">
        <v>46</v>
      </c>
      <c r="I1035" t="s">
        <v>22</v>
      </c>
      <c r="J1035">
        <v>3</v>
      </c>
      <c r="K1035">
        <v>2</v>
      </c>
      <c r="L1035" t="s">
        <v>27</v>
      </c>
      <c r="M1035">
        <v>2</v>
      </c>
      <c r="N1035">
        <v>25</v>
      </c>
      <c r="O1035">
        <v>1</v>
      </c>
      <c r="P1035">
        <v>1</v>
      </c>
      <c r="Q1035" t="s">
        <v>27</v>
      </c>
    </row>
    <row r="1036" spans="1:17" x14ac:dyDescent="0.3">
      <c r="A1036" t="s">
        <v>1081</v>
      </c>
      <c r="B1036">
        <v>46</v>
      </c>
      <c r="C1036" t="s">
        <v>35</v>
      </c>
      <c r="D1036" t="s">
        <v>19</v>
      </c>
      <c r="E1036" t="s">
        <v>40</v>
      </c>
      <c r="F1036">
        <v>6423</v>
      </c>
      <c r="G1036">
        <v>4</v>
      </c>
      <c r="H1036" t="s">
        <v>21</v>
      </c>
      <c r="I1036" t="s">
        <v>56</v>
      </c>
      <c r="J1036">
        <v>3</v>
      </c>
      <c r="K1036">
        <v>2</v>
      </c>
      <c r="L1036" t="s">
        <v>27</v>
      </c>
      <c r="M1036">
        <v>3</v>
      </c>
      <c r="N1036">
        <v>30</v>
      </c>
      <c r="O1036">
        <v>0</v>
      </c>
      <c r="P1036">
        <v>1</v>
      </c>
      <c r="Q1036" t="s">
        <v>27</v>
      </c>
    </row>
    <row r="1037" spans="1:17" x14ac:dyDescent="0.3">
      <c r="A1037" t="s">
        <v>1082</v>
      </c>
      <c r="B1037">
        <v>37</v>
      </c>
      <c r="C1037" t="s">
        <v>35</v>
      </c>
      <c r="D1037" t="s">
        <v>29</v>
      </c>
      <c r="E1037" t="s">
        <v>49</v>
      </c>
      <c r="F1037">
        <v>14293</v>
      </c>
      <c r="G1037">
        <v>16</v>
      </c>
      <c r="H1037" t="s">
        <v>33</v>
      </c>
      <c r="I1037" t="s">
        <v>22</v>
      </c>
      <c r="J1037">
        <v>1</v>
      </c>
      <c r="K1037">
        <v>3</v>
      </c>
      <c r="L1037" t="s">
        <v>27</v>
      </c>
      <c r="M1037">
        <v>2</v>
      </c>
      <c r="N1037">
        <v>8</v>
      </c>
      <c r="O1037">
        <v>4</v>
      </c>
      <c r="P1037">
        <v>4</v>
      </c>
      <c r="Q1037" t="s">
        <v>27</v>
      </c>
    </row>
    <row r="1038" spans="1:17" x14ac:dyDescent="0.3">
      <c r="A1038" t="s">
        <v>1083</v>
      </c>
      <c r="B1038">
        <v>31</v>
      </c>
      <c r="C1038" t="s">
        <v>18</v>
      </c>
      <c r="D1038" t="s">
        <v>70</v>
      </c>
      <c r="E1038" t="s">
        <v>144</v>
      </c>
      <c r="F1038">
        <v>6908</v>
      </c>
      <c r="G1038">
        <v>4</v>
      </c>
      <c r="H1038" t="s">
        <v>21</v>
      </c>
      <c r="I1038" t="s">
        <v>22</v>
      </c>
      <c r="J1038">
        <v>4</v>
      </c>
      <c r="K1038">
        <v>1</v>
      </c>
      <c r="L1038" t="s">
        <v>27</v>
      </c>
      <c r="M1038">
        <v>4</v>
      </c>
      <c r="N1038">
        <v>30</v>
      </c>
      <c r="O1038">
        <v>1</v>
      </c>
      <c r="P1038">
        <v>2</v>
      </c>
      <c r="Q1038" t="s">
        <v>27</v>
      </c>
    </row>
    <row r="1039" spans="1:17" x14ac:dyDescent="0.3">
      <c r="A1039" t="s">
        <v>1084</v>
      </c>
      <c r="B1039">
        <v>33</v>
      </c>
      <c r="C1039" t="s">
        <v>35</v>
      </c>
      <c r="D1039" t="s">
        <v>25</v>
      </c>
      <c r="E1039" t="s">
        <v>26</v>
      </c>
      <c r="F1039">
        <v>8280</v>
      </c>
      <c r="G1039">
        <v>2</v>
      </c>
      <c r="H1039" t="s">
        <v>21</v>
      </c>
      <c r="I1039" t="s">
        <v>31</v>
      </c>
      <c r="J1039">
        <v>4</v>
      </c>
      <c r="K1039">
        <v>4</v>
      </c>
      <c r="L1039" t="s">
        <v>27</v>
      </c>
      <c r="M1039">
        <v>3</v>
      </c>
      <c r="N1039">
        <v>12</v>
      </c>
      <c r="O1039">
        <v>4</v>
      </c>
      <c r="P1039">
        <v>4</v>
      </c>
      <c r="Q1039" t="s">
        <v>27</v>
      </c>
    </row>
    <row r="1040" spans="1:17" x14ac:dyDescent="0.3">
      <c r="A1040" t="s">
        <v>1085</v>
      </c>
      <c r="B1040">
        <v>42</v>
      </c>
      <c r="C1040" t="s">
        <v>35</v>
      </c>
      <c r="D1040" t="s">
        <v>74</v>
      </c>
      <c r="E1040" t="s">
        <v>75</v>
      </c>
      <c r="F1040">
        <v>5696</v>
      </c>
      <c r="G1040">
        <v>1</v>
      </c>
      <c r="H1040" t="s">
        <v>37</v>
      </c>
      <c r="I1040" t="s">
        <v>31</v>
      </c>
      <c r="J1040">
        <v>1</v>
      </c>
      <c r="K1040">
        <v>2</v>
      </c>
      <c r="L1040" t="s">
        <v>23</v>
      </c>
      <c r="M1040">
        <v>3</v>
      </c>
      <c r="N1040">
        <v>14</v>
      </c>
      <c r="O1040">
        <v>4</v>
      </c>
      <c r="P1040">
        <v>4</v>
      </c>
      <c r="Q1040" t="s">
        <v>27</v>
      </c>
    </row>
    <row r="1041" spans="1:17" x14ac:dyDescent="0.3">
      <c r="A1041" t="s">
        <v>1086</v>
      </c>
      <c r="B1041">
        <v>29</v>
      </c>
      <c r="C1041" t="s">
        <v>18</v>
      </c>
      <c r="D1041" t="s">
        <v>19</v>
      </c>
      <c r="E1041" t="s">
        <v>40</v>
      </c>
      <c r="F1041">
        <v>11120</v>
      </c>
      <c r="G1041">
        <v>11</v>
      </c>
      <c r="H1041" t="s">
        <v>21</v>
      </c>
      <c r="I1041" t="s">
        <v>31</v>
      </c>
      <c r="J1041">
        <v>2</v>
      </c>
      <c r="K1041">
        <v>1</v>
      </c>
      <c r="L1041" t="s">
        <v>27</v>
      </c>
      <c r="M1041">
        <v>3</v>
      </c>
      <c r="N1041">
        <v>5</v>
      </c>
      <c r="O1041">
        <v>6</v>
      </c>
      <c r="P1041">
        <v>3</v>
      </c>
      <c r="Q1041" t="s">
        <v>27</v>
      </c>
    </row>
    <row r="1042" spans="1:17" x14ac:dyDescent="0.3">
      <c r="A1042" t="s">
        <v>1087</v>
      </c>
      <c r="B1042">
        <v>21</v>
      </c>
      <c r="C1042" t="s">
        <v>35</v>
      </c>
      <c r="D1042" t="s">
        <v>25</v>
      </c>
      <c r="E1042" t="s">
        <v>61</v>
      </c>
      <c r="F1042">
        <v>4336</v>
      </c>
      <c r="G1042">
        <v>3</v>
      </c>
      <c r="H1042" t="s">
        <v>37</v>
      </c>
      <c r="I1042" t="s">
        <v>31</v>
      </c>
      <c r="J1042">
        <v>2</v>
      </c>
      <c r="K1042">
        <v>1</v>
      </c>
      <c r="L1042" t="s">
        <v>27</v>
      </c>
      <c r="M1042">
        <v>3</v>
      </c>
      <c r="N1042">
        <v>16</v>
      </c>
      <c r="O1042">
        <v>5</v>
      </c>
      <c r="P1042">
        <v>2</v>
      </c>
      <c r="Q1042" t="s">
        <v>27</v>
      </c>
    </row>
    <row r="1043" spans="1:17" x14ac:dyDescent="0.3">
      <c r="A1043" t="s">
        <v>1088</v>
      </c>
      <c r="B1043">
        <v>52</v>
      </c>
      <c r="C1043" t="s">
        <v>35</v>
      </c>
      <c r="D1043" t="s">
        <v>29</v>
      </c>
      <c r="E1043" t="s">
        <v>49</v>
      </c>
      <c r="F1043">
        <v>9089</v>
      </c>
      <c r="G1043">
        <v>5</v>
      </c>
      <c r="H1043" t="s">
        <v>21</v>
      </c>
      <c r="I1043" t="s">
        <v>22</v>
      </c>
      <c r="J1043">
        <v>1</v>
      </c>
      <c r="K1043">
        <v>3</v>
      </c>
      <c r="L1043" t="s">
        <v>23</v>
      </c>
      <c r="M1043">
        <v>2</v>
      </c>
      <c r="N1043">
        <v>19</v>
      </c>
      <c r="O1043">
        <v>0</v>
      </c>
      <c r="P1043">
        <v>3</v>
      </c>
      <c r="Q1043" t="s">
        <v>27</v>
      </c>
    </row>
    <row r="1044" spans="1:17" x14ac:dyDescent="0.3">
      <c r="A1044" t="s">
        <v>1089</v>
      </c>
      <c r="B1044">
        <v>43</v>
      </c>
      <c r="C1044" t="s">
        <v>35</v>
      </c>
      <c r="D1044" t="s">
        <v>74</v>
      </c>
      <c r="E1044" t="s">
        <v>99</v>
      </c>
      <c r="F1044">
        <v>11419</v>
      </c>
      <c r="G1044">
        <v>6</v>
      </c>
      <c r="H1044" t="s">
        <v>46</v>
      </c>
      <c r="I1044" t="s">
        <v>22</v>
      </c>
      <c r="J1044">
        <v>4</v>
      </c>
      <c r="K1044">
        <v>4</v>
      </c>
      <c r="L1044" t="s">
        <v>27</v>
      </c>
      <c r="M1044">
        <v>3</v>
      </c>
      <c r="N1044">
        <v>18</v>
      </c>
      <c r="O1044">
        <v>0</v>
      </c>
      <c r="P1044">
        <v>2</v>
      </c>
      <c r="Q1044" t="s">
        <v>27</v>
      </c>
    </row>
    <row r="1045" spans="1:17" x14ac:dyDescent="0.3">
      <c r="A1045" t="s">
        <v>1090</v>
      </c>
      <c r="B1045">
        <v>30</v>
      </c>
      <c r="C1045" t="s">
        <v>18</v>
      </c>
      <c r="D1045" t="s">
        <v>25</v>
      </c>
      <c r="E1045" t="s">
        <v>26</v>
      </c>
      <c r="F1045">
        <v>7186</v>
      </c>
      <c r="G1045">
        <v>3</v>
      </c>
      <c r="H1045" t="s">
        <v>37</v>
      </c>
      <c r="I1045" t="s">
        <v>31</v>
      </c>
      <c r="J1045">
        <v>1</v>
      </c>
      <c r="K1045">
        <v>4</v>
      </c>
      <c r="L1045" t="s">
        <v>23</v>
      </c>
      <c r="M1045">
        <v>4</v>
      </c>
      <c r="N1045">
        <v>4</v>
      </c>
      <c r="O1045">
        <v>2</v>
      </c>
      <c r="P1045">
        <v>4</v>
      </c>
      <c r="Q1045" t="s">
        <v>27</v>
      </c>
    </row>
    <row r="1046" spans="1:17" x14ac:dyDescent="0.3">
      <c r="A1046" t="s">
        <v>1091</v>
      </c>
      <c r="B1046">
        <v>18</v>
      </c>
      <c r="C1046" t="s">
        <v>35</v>
      </c>
      <c r="D1046" t="s">
        <v>74</v>
      </c>
      <c r="E1046" t="s">
        <v>75</v>
      </c>
      <c r="F1046">
        <v>5928</v>
      </c>
      <c r="G1046">
        <v>0</v>
      </c>
      <c r="H1046" t="s">
        <v>37</v>
      </c>
      <c r="I1046" t="s">
        <v>31</v>
      </c>
      <c r="J1046">
        <v>3</v>
      </c>
      <c r="K1046">
        <v>3</v>
      </c>
      <c r="L1046" t="s">
        <v>27</v>
      </c>
      <c r="M1046">
        <v>3</v>
      </c>
      <c r="N1046">
        <v>1</v>
      </c>
      <c r="O1046">
        <v>5</v>
      </c>
      <c r="P1046">
        <v>1</v>
      </c>
      <c r="Q1046" t="s">
        <v>27</v>
      </c>
    </row>
    <row r="1047" spans="1:17" x14ac:dyDescent="0.3">
      <c r="A1047" t="s">
        <v>1092</v>
      </c>
      <c r="B1047">
        <v>23</v>
      </c>
      <c r="C1047" t="s">
        <v>18</v>
      </c>
      <c r="D1047" t="s">
        <v>44</v>
      </c>
      <c r="E1047" t="s">
        <v>45</v>
      </c>
      <c r="F1047">
        <v>5563</v>
      </c>
      <c r="G1047">
        <v>1</v>
      </c>
      <c r="H1047" t="s">
        <v>21</v>
      </c>
      <c r="I1047" t="s">
        <v>31</v>
      </c>
      <c r="J1047">
        <v>3</v>
      </c>
      <c r="K1047">
        <v>1</v>
      </c>
      <c r="L1047" t="s">
        <v>27</v>
      </c>
      <c r="M1047">
        <v>1</v>
      </c>
      <c r="N1047">
        <v>18</v>
      </c>
      <c r="O1047">
        <v>2</v>
      </c>
      <c r="P1047">
        <v>4</v>
      </c>
      <c r="Q1047" t="s">
        <v>27</v>
      </c>
    </row>
    <row r="1048" spans="1:17" x14ac:dyDescent="0.3">
      <c r="A1048" t="s">
        <v>1093</v>
      </c>
      <c r="B1048">
        <v>41</v>
      </c>
      <c r="C1048" t="s">
        <v>35</v>
      </c>
      <c r="D1048" t="s">
        <v>25</v>
      </c>
      <c r="E1048" t="s">
        <v>61</v>
      </c>
      <c r="F1048">
        <v>8937</v>
      </c>
      <c r="G1048">
        <v>4</v>
      </c>
      <c r="H1048" t="s">
        <v>21</v>
      </c>
      <c r="I1048" t="s">
        <v>31</v>
      </c>
      <c r="J1048">
        <v>1</v>
      </c>
      <c r="K1048">
        <v>4</v>
      </c>
      <c r="L1048" t="s">
        <v>27</v>
      </c>
      <c r="M1048">
        <v>4</v>
      </c>
      <c r="N1048">
        <v>14</v>
      </c>
      <c r="O1048">
        <v>2</v>
      </c>
      <c r="P1048">
        <v>3</v>
      </c>
      <c r="Q1048" t="s">
        <v>27</v>
      </c>
    </row>
    <row r="1049" spans="1:17" x14ac:dyDescent="0.3">
      <c r="A1049" t="s">
        <v>1094</v>
      </c>
      <c r="B1049">
        <v>48</v>
      </c>
      <c r="C1049" t="s">
        <v>35</v>
      </c>
      <c r="D1049" t="s">
        <v>74</v>
      </c>
      <c r="E1049" t="s">
        <v>75</v>
      </c>
      <c r="F1049">
        <v>9638</v>
      </c>
      <c r="G1049">
        <v>1</v>
      </c>
      <c r="H1049" t="s">
        <v>37</v>
      </c>
      <c r="I1049" t="s">
        <v>22</v>
      </c>
      <c r="J1049">
        <v>2</v>
      </c>
      <c r="K1049">
        <v>3</v>
      </c>
      <c r="L1049" t="s">
        <v>27</v>
      </c>
      <c r="M1049">
        <v>3</v>
      </c>
      <c r="N1049">
        <v>4</v>
      </c>
      <c r="O1049">
        <v>1</v>
      </c>
      <c r="P1049">
        <v>3</v>
      </c>
      <c r="Q1049" t="s">
        <v>27</v>
      </c>
    </row>
    <row r="1050" spans="1:17" x14ac:dyDescent="0.3">
      <c r="A1050" t="s">
        <v>1095</v>
      </c>
      <c r="B1050">
        <v>31</v>
      </c>
      <c r="C1050" t="s">
        <v>35</v>
      </c>
      <c r="D1050" t="s">
        <v>44</v>
      </c>
      <c r="E1050" t="s">
        <v>20</v>
      </c>
      <c r="F1050">
        <v>11495</v>
      </c>
      <c r="G1050">
        <v>2</v>
      </c>
      <c r="H1050" t="s">
        <v>37</v>
      </c>
      <c r="I1050" t="s">
        <v>56</v>
      </c>
      <c r="J1050">
        <v>1</v>
      </c>
      <c r="K1050">
        <v>3</v>
      </c>
      <c r="L1050" t="s">
        <v>23</v>
      </c>
      <c r="M1050">
        <v>3</v>
      </c>
      <c r="N1050">
        <v>12</v>
      </c>
      <c r="O1050">
        <v>1</v>
      </c>
      <c r="P1050">
        <v>3</v>
      </c>
      <c r="Q1050" t="s">
        <v>27</v>
      </c>
    </row>
    <row r="1051" spans="1:17" x14ac:dyDescent="0.3">
      <c r="A1051" t="s">
        <v>1096</v>
      </c>
      <c r="B1051">
        <v>28</v>
      </c>
      <c r="C1051" t="s">
        <v>35</v>
      </c>
      <c r="D1051" t="s">
        <v>19</v>
      </c>
      <c r="E1051" t="s">
        <v>40</v>
      </c>
      <c r="F1051">
        <v>11663</v>
      </c>
      <c r="G1051">
        <v>8</v>
      </c>
      <c r="H1051" t="s">
        <v>37</v>
      </c>
      <c r="I1051" t="s">
        <v>31</v>
      </c>
      <c r="J1051">
        <v>1</v>
      </c>
      <c r="K1051">
        <v>3</v>
      </c>
      <c r="L1051" t="s">
        <v>23</v>
      </c>
      <c r="M1051">
        <v>4</v>
      </c>
      <c r="N1051">
        <v>26</v>
      </c>
      <c r="O1051">
        <v>3</v>
      </c>
      <c r="P1051">
        <v>1</v>
      </c>
      <c r="Q1051" t="s">
        <v>27</v>
      </c>
    </row>
    <row r="1052" spans="1:17" x14ac:dyDescent="0.3">
      <c r="A1052" t="s">
        <v>1097</v>
      </c>
      <c r="B1052">
        <v>33</v>
      </c>
      <c r="C1052" t="s">
        <v>18</v>
      </c>
      <c r="D1052" t="s">
        <v>19</v>
      </c>
      <c r="E1052" t="s">
        <v>40</v>
      </c>
      <c r="F1052">
        <v>9052</v>
      </c>
      <c r="G1052">
        <v>7</v>
      </c>
      <c r="H1052" t="s">
        <v>37</v>
      </c>
      <c r="I1052" t="s">
        <v>22</v>
      </c>
      <c r="J1052">
        <v>4</v>
      </c>
      <c r="K1052">
        <v>3</v>
      </c>
      <c r="L1052" t="s">
        <v>27</v>
      </c>
      <c r="M1052">
        <v>3</v>
      </c>
      <c r="N1052">
        <v>14</v>
      </c>
      <c r="O1052">
        <v>2</v>
      </c>
      <c r="P1052">
        <v>3</v>
      </c>
      <c r="Q1052" t="s">
        <v>27</v>
      </c>
    </row>
    <row r="1053" spans="1:17" x14ac:dyDescent="0.3">
      <c r="A1053" t="s">
        <v>1098</v>
      </c>
      <c r="B1053">
        <v>35</v>
      </c>
      <c r="C1053" t="s">
        <v>18</v>
      </c>
      <c r="D1053" t="s">
        <v>44</v>
      </c>
      <c r="E1053" t="s">
        <v>45</v>
      </c>
      <c r="F1053">
        <v>7237</v>
      </c>
      <c r="G1053">
        <v>6</v>
      </c>
      <c r="H1053" t="s">
        <v>37</v>
      </c>
      <c r="I1053" t="s">
        <v>22</v>
      </c>
      <c r="J1053">
        <v>3</v>
      </c>
      <c r="K1053">
        <v>2</v>
      </c>
      <c r="L1053" t="s">
        <v>27</v>
      </c>
      <c r="M1053">
        <v>4</v>
      </c>
      <c r="N1053">
        <v>9</v>
      </c>
      <c r="O1053">
        <v>3</v>
      </c>
      <c r="P1053">
        <v>3</v>
      </c>
      <c r="Q1053" t="s">
        <v>27</v>
      </c>
    </row>
    <row r="1054" spans="1:17" x14ac:dyDescent="0.3">
      <c r="A1054" t="s">
        <v>1099</v>
      </c>
      <c r="B1054">
        <v>35</v>
      </c>
      <c r="C1054" t="s">
        <v>35</v>
      </c>
      <c r="D1054" t="s">
        <v>25</v>
      </c>
      <c r="E1054" t="s">
        <v>26</v>
      </c>
      <c r="F1054">
        <v>6003</v>
      </c>
      <c r="G1054">
        <v>5</v>
      </c>
      <c r="H1054" t="s">
        <v>37</v>
      </c>
      <c r="I1054" t="s">
        <v>56</v>
      </c>
      <c r="J1054">
        <v>2</v>
      </c>
      <c r="K1054">
        <v>2</v>
      </c>
      <c r="L1054" t="s">
        <v>23</v>
      </c>
      <c r="M1054">
        <v>3</v>
      </c>
      <c r="N1054">
        <v>25</v>
      </c>
      <c r="O1054">
        <v>5</v>
      </c>
      <c r="P1054">
        <v>2</v>
      </c>
      <c r="Q1054" t="s">
        <v>27</v>
      </c>
    </row>
    <row r="1055" spans="1:17" x14ac:dyDescent="0.3">
      <c r="A1055" t="s">
        <v>1100</v>
      </c>
      <c r="B1055">
        <v>36</v>
      </c>
      <c r="C1055" t="s">
        <v>18</v>
      </c>
      <c r="D1055" t="s">
        <v>74</v>
      </c>
      <c r="E1055" t="s">
        <v>99</v>
      </c>
      <c r="F1055">
        <v>11419</v>
      </c>
      <c r="G1055">
        <v>8</v>
      </c>
      <c r="H1055" t="s">
        <v>21</v>
      </c>
      <c r="I1055" t="s">
        <v>22</v>
      </c>
      <c r="J1055">
        <v>1</v>
      </c>
      <c r="K1055">
        <v>4</v>
      </c>
      <c r="L1055" t="s">
        <v>27</v>
      </c>
      <c r="M1055">
        <v>3</v>
      </c>
      <c r="N1055">
        <v>23</v>
      </c>
      <c r="O1055">
        <v>2</v>
      </c>
      <c r="P1055">
        <v>2</v>
      </c>
      <c r="Q1055" t="s">
        <v>27</v>
      </c>
    </row>
    <row r="1056" spans="1:17" x14ac:dyDescent="0.3">
      <c r="A1056" t="s">
        <v>1101</v>
      </c>
      <c r="B1056">
        <v>33</v>
      </c>
      <c r="C1056" t="s">
        <v>35</v>
      </c>
      <c r="D1056" t="s">
        <v>19</v>
      </c>
      <c r="E1056" t="s">
        <v>36</v>
      </c>
      <c r="F1056">
        <v>11307</v>
      </c>
      <c r="G1056">
        <v>9</v>
      </c>
      <c r="H1056" t="s">
        <v>21</v>
      </c>
      <c r="I1056" t="s">
        <v>31</v>
      </c>
      <c r="J1056">
        <v>2</v>
      </c>
      <c r="K1056">
        <v>2</v>
      </c>
      <c r="L1056" t="s">
        <v>23</v>
      </c>
      <c r="M1056">
        <v>3</v>
      </c>
      <c r="N1056">
        <v>24</v>
      </c>
      <c r="O1056">
        <v>5</v>
      </c>
      <c r="P1056">
        <v>3</v>
      </c>
      <c r="Q1056" t="s">
        <v>27</v>
      </c>
    </row>
    <row r="1057" spans="1:17" x14ac:dyDescent="0.3">
      <c r="A1057" t="s">
        <v>1102</v>
      </c>
      <c r="B1057">
        <v>38</v>
      </c>
      <c r="C1057" t="s">
        <v>35</v>
      </c>
      <c r="D1057" t="s">
        <v>19</v>
      </c>
      <c r="E1057" t="s">
        <v>20</v>
      </c>
      <c r="F1057">
        <v>13447</v>
      </c>
      <c r="G1057">
        <v>3</v>
      </c>
      <c r="H1057" t="s">
        <v>21</v>
      </c>
      <c r="I1057" t="s">
        <v>31</v>
      </c>
      <c r="J1057">
        <v>4</v>
      </c>
      <c r="K1057">
        <v>2</v>
      </c>
      <c r="L1057" t="s">
        <v>27</v>
      </c>
      <c r="M1057">
        <v>4</v>
      </c>
      <c r="N1057">
        <v>16</v>
      </c>
      <c r="O1057">
        <v>3</v>
      </c>
      <c r="P1057">
        <v>3</v>
      </c>
      <c r="Q1057" t="s">
        <v>27</v>
      </c>
    </row>
    <row r="1058" spans="1:17" x14ac:dyDescent="0.3">
      <c r="A1058" t="s">
        <v>1103</v>
      </c>
      <c r="B1058">
        <v>43</v>
      </c>
      <c r="C1058" t="s">
        <v>18</v>
      </c>
      <c r="D1058" t="s">
        <v>70</v>
      </c>
      <c r="E1058" t="s">
        <v>144</v>
      </c>
      <c r="F1058">
        <v>8283</v>
      </c>
      <c r="G1058">
        <v>5</v>
      </c>
      <c r="H1058" t="s">
        <v>37</v>
      </c>
      <c r="I1058" t="s">
        <v>22</v>
      </c>
      <c r="J1058">
        <v>2</v>
      </c>
      <c r="K1058">
        <v>3</v>
      </c>
      <c r="L1058" t="s">
        <v>27</v>
      </c>
      <c r="M1058">
        <v>2</v>
      </c>
      <c r="N1058">
        <v>19</v>
      </c>
      <c r="O1058">
        <v>0</v>
      </c>
      <c r="P1058">
        <v>3</v>
      </c>
      <c r="Q1058" t="s">
        <v>27</v>
      </c>
    </row>
    <row r="1059" spans="1:17" x14ac:dyDescent="0.3">
      <c r="A1059" t="s">
        <v>1104</v>
      </c>
      <c r="B1059">
        <v>38</v>
      </c>
      <c r="C1059" t="s">
        <v>35</v>
      </c>
      <c r="D1059" t="s">
        <v>25</v>
      </c>
      <c r="E1059" t="s">
        <v>61</v>
      </c>
      <c r="F1059">
        <v>17121</v>
      </c>
      <c r="G1059">
        <v>14</v>
      </c>
      <c r="H1059" t="s">
        <v>21</v>
      </c>
      <c r="I1059" t="s">
        <v>31</v>
      </c>
      <c r="J1059">
        <v>3</v>
      </c>
      <c r="K1059">
        <v>1</v>
      </c>
      <c r="L1059" t="s">
        <v>23</v>
      </c>
      <c r="M1059">
        <v>3</v>
      </c>
      <c r="N1059">
        <v>28</v>
      </c>
      <c r="O1059">
        <v>4</v>
      </c>
      <c r="P1059">
        <v>3</v>
      </c>
      <c r="Q1059" t="s">
        <v>27</v>
      </c>
    </row>
    <row r="1060" spans="1:17" x14ac:dyDescent="0.3">
      <c r="A1060" t="s">
        <v>1105</v>
      </c>
      <c r="B1060">
        <v>36</v>
      </c>
      <c r="C1060" t="s">
        <v>18</v>
      </c>
      <c r="D1060" t="s">
        <v>29</v>
      </c>
      <c r="E1060" t="s">
        <v>20</v>
      </c>
      <c r="F1060">
        <v>13830</v>
      </c>
      <c r="G1060">
        <v>5</v>
      </c>
      <c r="H1060" t="s">
        <v>37</v>
      </c>
      <c r="I1060" t="s">
        <v>56</v>
      </c>
      <c r="J1060">
        <v>4</v>
      </c>
      <c r="K1060">
        <v>1</v>
      </c>
      <c r="L1060" t="s">
        <v>23</v>
      </c>
      <c r="M1060">
        <v>4</v>
      </c>
      <c r="N1060">
        <v>23</v>
      </c>
      <c r="O1060">
        <v>6</v>
      </c>
      <c r="P1060">
        <v>1</v>
      </c>
      <c r="Q1060" t="s">
        <v>23</v>
      </c>
    </row>
    <row r="1061" spans="1:17" x14ac:dyDescent="0.3">
      <c r="A1061" t="s">
        <v>1106</v>
      </c>
      <c r="B1061">
        <v>40</v>
      </c>
      <c r="C1061" t="s">
        <v>35</v>
      </c>
      <c r="D1061" t="s">
        <v>44</v>
      </c>
      <c r="E1061" t="s">
        <v>45</v>
      </c>
      <c r="F1061">
        <v>11426</v>
      </c>
      <c r="G1061">
        <v>8</v>
      </c>
      <c r="H1061" t="s">
        <v>33</v>
      </c>
      <c r="I1061" t="s">
        <v>22</v>
      </c>
      <c r="J1061">
        <v>4</v>
      </c>
      <c r="K1061">
        <v>3</v>
      </c>
      <c r="L1061" t="s">
        <v>23</v>
      </c>
      <c r="M1061">
        <v>3</v>
      </c>
      <c r="N1061">
        <v>13</v>
      </c>
      <c r="O1061">
        <v>2</v>
      </c>
      <c r="P1061">
        <v>4</v>
      </c>
      <c r="Q1061" t="s">
        <v>27</v>
      </c>
    </row>
    <row r="1062" spans="1:17" x14ac:dyDescent="0.3">
      <c r="A1062" t="s">
        <v>1107</v>
      </c>
      <c r="B1062">
        <v>35</v>
      </c>
      <c r="C1062" t="s">
        <v>18</v>
      </c>
      <c r="D1062" t="s">
        <v>70</v>
      </c>
      <c r="E1062" t="s">
        <v>71</v>
      </c>
      <c r="F1062">
        <v>8515</v>
      </c>
      <c r="G1062">
        <v>1</v>
      </c>
      <c r="H1062" t="s">
        <v>21</v>
      </c>
      <c r="I1062" t="s">
        <v>22</v>
      </c>
      <c r="J1062">
        <v>3</v>
      </c>
      <c r="K1062">
        <v>1</v>
      </c>
      <c r="L1062" t="s">
        <v>27</v>
      </c>
      <c r="M1062">
        <v>2</v>
      </c>
      <c r="N1062">
        <v>7</v>
      </c>
      <c r="O1062">
        <v>3</v>
      </c>
      <c r="P1062">
        <v>2</v>
      </c>
      <c r="Q1062" t="s">
        <v>27</v>
      </c>
    </row>
    <row r="1063" spans="1:17" x14ac:dyDescent="0.3">
      <c r="A1063" t="s">
        <v>1108</v>
      </c>
      <c r="B1063">
        <v>34</v>
      </c>
      <c r="C1063" t="s">
        <v>18</v>
      </c>
      <c r="D1063" t="s">
        <v>70</v>
      </c>
      <c r="E1063" t="s">
        <v>71</v>
      </c>
      <c r="F1063">
        <v>5268</v>
      </c>
      <c r="G1063">
        <v>0</v>
      </c>
      <c r="H1063" t="s">
        <v>21</v>
      </c>
      <c r="I1063" t="s">
        <v>22</v>
      </c>
      <c r="J1063">
        <v>1</v>
      </c>
      <c r="K1063">
        <v>2</v>
      </c>
      <c r="L1063" t="s">
        <v>27</v>
      </c>
      <c r="M1063">
        <v>3</v>
      </c>
      <c r="N1063">
        <v>25</v>
      </c>
      <c r="O1063">
        <v>5</v>
      </c>
      <c r="P1063">
        <v>3</v>
      </c>
      <c r="Q1063" t="s">
        <v>27</v>
      </c>
    </row>
    <row r="1064" spans="1:17" x14ac:dyDescent="0.3">
      <c r="A1064" t="s">
        <v>1109</v>
      </c>
      <c r="B1064">
        <v>23</v>
      </c>
      <c r="C1064" t="s">
        <v>18</v>
      </c>
      <c r="D1064" t="s">
        <v>25</v>
      </c>
      <c r="E1064" t="s">
        <v>26</v>
      </c>
      <c r="F1064">
        <v>7717</v>
      </c>
      <c r="G1064">
        <v>3</v>
      </c>
      <c r="H1064" t="s">
        <v>37</v>
      </c>
      <c r="I1064" t="s">
        <v>22</v>
      </c>
      <c r="J1064">
        <v>2</v>
      </c>
      <c r="K1064">
        <v>2</v>
      </c>
      <c r="L1064" t="s">
        <v>27</v>
      </c>
      <c r="M1064">
        <v>3</v>
      </c>
      <c r="N1064">
        <v>14</v>
      </c>
      <c r="O1064">
        <v>5</v>
      </c>
      <c r="P1064">
        <v>1</v>
      </c>
      <c r="Q1064" t="s">
        <v>27</v>
      </c>
    </row>
    <row r="1065" spans="1:17" x14ac:dyDescent="0.3">
      <c r="A1065" t="s">
        <v>1110</v>
      </c>
      <c r="B1065">
        <v>31</v>
      </c>
      <c r="C1065" t="s">
        <v>18</v>
      </c>
      <c r="D1065" t="s">
        <v>19</v>
      </c>
      <c r="E1065" t="s">
        <v>36</v>
      </c>
      <c r="F1065">
        <v>11411</v>
      </c>
      <c r="G1065">
        <v>9</v>
      </c>
      <c r="H1065" t="s">
        <v>37</v>
      </c>
      <c r="I1065" t="s">
        <v>31</v>
      </c>
      <c r="J1065">
        <v>2</v>
      </c>
      <c r="K1065">
        <v>1</v>
      </c>
      <c r="L1065" t="s">
        <v>23</v>
      </c>
      <c r="M1065">
        <v>4</v>
      </c>
      <c r="N1065">
        <v>26</v>
      </c>
      <c r="O1065">
        <v>6</v>
      </c>
      <c r="P1065">
        <v>3</v>
      </c>
      <c r="Q1065" t="s">
        <v>27</v>
      </c>
    </row>
    <row r="1066" spans="1:17" x14ac:dyDescent="0.3">
      <c r="A1066" t="s">
        <v>1111</v>
      </c>
      <c r="B1066">
        <v>18</v>
      </c>
      <c r="C1066" t="s">
        <v>35</v>
      </c>
      <c r="D1066" t="s">
        <v>25</v>
      </c>
      <c r="E1066" t="s">
        <v>20</v>
      </c>
      <c r="F1066">
        <v>12571</v>
      </c>
      <c r="G1066">
        <v>0</v>
      </c>
      <c r="H1066" t="s">
        <v>33</v>
      </c>
      <c r="I1066" t="s">
        <v>31</v>
      </c>
      <c r="J1066">
        <v>4</v>
      </c>
      <c r="K1066">
        <v>2</v>
      </c>
      <c r="L1066" t="s">
        <v>23</v>
      </c>
      <c r="M1066">
        <v>4</v>
      </c>
      <c r="N1066">
        <v>8</v>
      </c>
      <c r="O1066">
        <v>1</v>
      </c>
      <c r="P1066">
        <v>1</v>
      </c>
      <c r="Q1066" t="s">
        <v>27</v>
      </c>
    </row>
    <row r="1067" spans="1:17" x14ac:dyDescent="0.3">
      <c r="A1067" t="s">
        <v>1112</v>
      </c>
      <c r="B1067">
        <v>39</v>
      </c>
      <c r="C1067" t="s">
        <v>35</v>
      </c>
      <c r="D1067" t="s">
        <v>74</v>
      </c>
      <c r="E1067" t="s">
        <v>99</v>
      </c>
      <c r="F1067">
        <v>8549</v>
      </c>
      <c r="G1067">
        <v>0</v>
      </c>
      <c r="H1067" t="s">
        <v>37</v>
      </c>
      <c r="I1067" t="s">
        <v>56</v>
      </c>
      <c r="J1067">
        <v>4</v>
      </c>
      <c r="K1067">
        <v>2</v>
      </c>
      <c r="L1067" t="s">
        <v>27</v>
      </c>
      <c r="M1067">
        <v>3</v>
      </c>
      <c r="N1067">
        <v>13</v>
      </c>
      <c r="O1067">
        <v>1</v>
      </c>
      <c r="P1067">
        <v>2</v>
      </c>
      <c r="Q1067" t="s">
        <v>27</v>
      </c>
    </row>
    <row r="1068" spans="1:17" x14ac:dyDescent="0.3">
      <c r="A1068" t="s">
        <v>1113</v>
      </c>
      <c r="B1068">
        <v>35</v>
      </c>
      <c r="C1068" t="s">
        <v>18</v>
      </c>
      <c r="D1068" t="s">
        <v>29</v>
      </c>
      <c r="E1068" t="s">
        <v>49</v>
      </c>
      <c r="F1068">
        <v>13534</v>
      </c>
      <c r="G1068">
        <v>17</v>
      </c>
      <c r="H1068" t="s">
        <v>37</v>
      </c>
      <c r="I1068" t="s">
        <v>22</v>
      </c>
      <c r="J1068">
        <v>1</v>
      </c>
      <c r="K1068">
        <v>1</v>
      </c>
      <c r="L1068" t="s">
        <v>27</v>
      </c>
      <c r="M1068">
        <v>2</v>
      </c>
      <c r="N1068">
        <v>5</v>
      </c>
      <c r="O1068">
        <v>4</v>
      </c>
      <c r="P1068">
        <v>2</v>
      </c>
      <c r="Q1068" t="s">
        <v>27</v>
      </c>
    </row>
    <row r="1069" spans="1:17" x14ac:dyDescent="0.3">
      <c r="A1069" t="s">
        <v>1114</v>
      </c>
      <c r="B1069">
        <v>31</v>
      </c>
      <c r="C1069" t="s">
        <v>18</v>
      </c>
      <c r="D1069" t="s">
        <v>74</v>
      </c>
      <c r="E1069" t="s">
        <v>75</v>
      </c>
      <c r="F1069">
        <v>10154</v>
      </c>
      <c r="G1069">
        <v>2</v>
      </c>
      <c r="H1069" t="s">
        <v>21</v>
      </c>
      <c r="I1069" t="s">
        <v>56</v>
      </c>
      <c r="J1069">
        <v>4</v>
      </c>
      <c r="K1069">
        <v>4</v>
      </c>
      <c r="L1069" t="s">
        <v>27</v>
      </c>
      <c r="M1069">
        <v>4</v>
      </c>
      <c r="N1069">
        <v>1</v>
      </c>
      <c r="O1069">
        <v>2</v>
      </c>
      <c r="P1069">
        <v>3</v>
      </c>
      <c r="Q1069" t="s">
        <v>23</v>
      </c>
    </row>
    <row r="1070" spans="1:17" x14ac:dyDescent="0.3">
      <c r="A1070" t="s">
        <v>1115</v>
      </c>
      <c r="B1070">
        <v>41</v>
      </c>
      <c r="C1070" t="s">
        <v>35</v>
      </c>
      <c r="D1070" t="s">
        <v>25</v>
      </c>
      <c r="E1070" t="s">
        <v>20</v>
      </c>
      <c r="F1070">
        <v>10158</v>
      </c>
      <c r="G1070">
        <v>0</v>
      </c>
      <c r="H1070" t="s">
        <v>33</v>
      </c>
      <c r="I1070" t="s">
        <v>22</v>
      </c>
      <c r="J1070">
        <v>2</v>
      </c>
      <c r="K1070">
        <v>2</v>
      </c>
      <c r="L1070" t="s">
        <v>27</v>
      </c>
      <c r="M1070">
        <v>3</v>
      </c>
      <c r="N1070">
        <v>28</v>
      </c>
      <c r="O1070">
        <v>0</v>
      </c>
      <c r="P1070">
        <v>3</v>
      </c>
      <c r="Q1070" t="s">
        <v>27</v>
      </c>
    </row>
    <row r="1071" spans="1:17" x14ac:dyDescent="0.3">
      <c r="A1071" t="s">
        <v>1116</v>
      </c>
      <c r="B1071">
        <v>29</v>
      </c>
      <c r="C1071" t="s">
        <v>35</v>
      </c>
      <c r="D1071" t="s">
        <v>74</v>
      </c>
      <c r="E1071" t="s">
        <v>75</v>
      </c>
      <c r="F1071">
        <v>3332</v>
      </c>
      <c r="G1071">
        <v>2</v>
      </c>
      <c r="H1071" t="s">
        <v>37</v>
      </c>
      <c r="I1071" t="s">
        <v>31</v>
      </c>
      <c r="J1071">
        <v>4</v>
      </c>
      <c r="K1071">
        <v>1</v>
      </c>
      <c r="L1071" t="s">
        <v>27</v>
      </c>
      <c r="M1071">
        <v>3</v>
      </c>
      <c r="N1071">
        <v>11</v>
      </c>
      <c r="O1071">
        <v>2</v>
      </c>
      <c r="P1071">
        <v>1</v>
      </c>
      <c r="Q1071" t="s">
        <v>27</v>
      </c>
    </row>
    <row r="1072" spans="1:17" x14ac:dyDescent="0.3">
      <c r="A1072" t="s">
        <v>1117</v>
      </c>
      <c r="B1072">
        <v>22</v>
      </c>
      <c r="C1072" t="s">
        <v>18</v>
      </c>
      <c r="D1072" t="s">
        <v>74</v>
      </c>
      <c r="E1072" t="s">
        <v>99</v>
      </c>
      <c r="F1072">
        <v>9136</v>
      </c>
      <c r="G1072">
        <v>4</v>
      </c>
      <c r="H1072" t="s">
        <v>37</v>
      </c>
      <c r="I1072" t="s">
        <v>31</v>
      </c>
      <c r="J1072">
        <v>2</v>
      </c>
      <c r="K1072">
        <v>1</v>
      </c>
      <c r="L1072" t="s">
        <v>27</v>
      </c>
      <c r="M1072">
        <v>3</v>
      </c>
      <c r="N1072">
        <v>7</v>
      </c>
      <c r="O1072">
        <v>5</v>
      </c>
      <c r="P1072">
        <v>2</v>
      </c>
      <c r="Q1072" t="s">
        <v>27</v>
      </c>
    </row>
    <row r="1073" spans="1:17" x14ac:dyDescent="0.3">
      <c r="A1073" t="s">
        <v>1118</v>
      </c>
      <c r="B1073">
        <v>36</v>
      </c>
      <c r="C1073" t="s">
        <v>18</v>
      </c>
      <c r="D1073" t="s">
        <v>70</v>
      </c>
      <c r="E1073" t="s">
        <v>144</v>
      </c>
      <c r="F1073">
        <v>9645</v>
      </c>
      <c r="G1073">
        <v>12</v>
      </c>
      <c r="H1073" t="s">
        <v>46</v>
      </c>
      <c r="I1073" t="s">
        <v>31</v>
      </c>
      <c r="J1073">
        <v>2</v>
      </c>
      <c r="K1073">
        <v>1</v>
      </c>
      <c r="L1073" t="s">
        <v>27</v>
      </c>
      <c r="M1073">
        <v>4</v>
      </c>
      <c r="N1073">
        <v>10</v>
      </c>
      <c r="O1073">
        <v>1</v>
      </c>
      <c r="P1073">
        <v>4</v>
      </c>
      <c r="Q1073" t="s">
        <v>27</v>
      </c>
    </row>
    <row r="1074" spans="1:17" x14ac:dyDescent="0.3">
      <c r="A1074" t="s">
        <v>1119</v>
      </c>
      <c r="B1074">
        <v>38</v>
      </c>
      <c r="C1074" t="s">
        <v>18</v>
      </c>
      <c r="D1074" t="s">
        <v>19</v>
      </c>
      <c r="E1074" t="s">
        <v>36</v>
      </c>
      <c r="F1074">
        <v>9969</v>
      </c>
      <c r="G1074">
        <v>2</v>
      </c>
      <c r="H1074" t="s">
        <v>33</v>
      </c>
      <c r="I1074" t="s">
        <v>31</v>
      </c>
      <c r="J1074">
        <v>4</v>
      </c>
      <c r="K1074">
        <v>2</v>
      </c>
      <c r="L1074" t="s">
        <v>27</v>
      </c>
      <c r="M1074">
        <v>3</v>
      </c>
      <c r="N1074">
        <v>9</v>
      </c>
      <c r="O1074">
        <v>0</v>
      </c>
      <c r="P1074">
        <v>2</v>
      </c>
      <c r="Q1074" t="s">
        <v>27</v>
      </c>
    </row>
    <row r="1075" spans="1:17" x14ac:dyDescent="0.3">
      <c r="A1075" t="s">
        <v>1120</v>
      </c>
      <c r="B1075">
        <v>24</v>
      </c>
      <c r="C1075" t="s">
        <v>35</v>
      </c>
      <c r="D1075" t="s">
        <v>74</v>
      </c>
      <c r="E1075" t="s">
        <v>75</v>
      </c>
      <c r="F1075">
        <v>7075</v>
      </c>
      <c r="G1075">
        <v>1</v>
      </c>
      <c r="H1075" t="s">
        <v>33</v>
      </c>
      <c r="I1075" t="s">
        <v>22</v>
      </c>
      <c r="J1075">
        <v>1</v>
      </c>
      <c r="K1075">
        <v>2</v>
      </c>
      <c r="L1075" t="s">
        <v>23</v>
      </c>
      <c r="M1075">
        <v>3</v>
      </c>
      <c r="N1075">
        <v>18</v>
      </c>
      <c r="O1075">
        <v>4</v>
      </c>
      <c r="P1075">
        <v>2</v>
      </c>
      <c r="Q1075" t="s">
        <v>27</v>
      </c>
    </row>
    <row r="1076" spans="1:17" x14ac:dyDescent="0.3">
      <c r="A1076" t="s">
        <v>1121</v>
      </c>
      <c r="B1076">
        <v>35</v>
      </c>
      <c r="C1076" t="s">
        <v>18</v>
      </c>
      <c r="D1076" t="s">
        <v>70</v>
      </c>
      <c r="E1076" t="s">
        <v>71</v>
      </c>
      <c r="F1076">
        <v>10186</v>
      </c>
      <c r="G1076">
        <v>3</v>
      </c>
      <c r="H1076" t="s">
        <v>21</v>
      </c>
      <c r="I1076" t="s">
        <v>22</v>
      </c>
      <c r="J1076">
        <v>4</v>
      </c>
      <c r="K1076">
        <v>4</v>
      </c>
      <c r="L1076" t="s">
        <v>27</v>
      </c>
      <c r="M1076">
        <v>4</v>
      </c>
      <c r="N1076">
        <v>29</v>
      </c>
      <c r="O1076">
        <v>5</v>
      </c>
      <c r="P1076">
        <v>4</v>
      </c>
      <c r="Q1076" t="s">
        <v>27</v>
      </c>
    </row>
    <row r="1077" spans="1:17" x14ac:dyDescent="0.3">
      <c r="A1077" t="s">
        <v>1122</v>
      </c>
      <c r="B1077">
        <v>23</v>
      </c>
      <c r="C1077" t="s">
        <v>18</v>
      </c>
      <c r="D1077" t="s">
        <v>19</v>
      </c>
      <c r="E1077" t="s">
        <v>40</v>
      </c>
      <c r="F1077">
        <v>8830</v>
      </c>
      <c r="G1077">
        <v>5</v>
      </c>
      <c r="H1077" t="s">
        <v>37</v>
      </c>
      <c r="I1077" t="s">
        <v>22</v>
      </c>
      <c r="J1077">
        <v>3</v>
      </c>
      <c r="K1077">
        <v>4</v>
      </c>
      <c r="L1077" t="s">
        <v>27</v>
      </c>
      <c r="M1077">
        <v>1</v>
      </c>
      <c r="N1077">
        <v>11</v>
      </c>
      <c r="O1077">
        <v>1</v>
      </c>
      <c r="P1077">
        <v>4</v>
      </c>
      <c r="Q1077" t="s">
        <v>27</v>
      </c>
    </row>
    <row r="1078" spans="1:17" x14ac:dyDescent="0.3">
      <c r="A1078" t="s">
        <v>1123</v>
      </c>
      <c r="B1078">
        <v>31</v>
      </c>
      <c r="C1078" t="s">
        <v>35</v>
      </c>
      <c r="D1078" t="s">
        <v>44</v>
      </c>
      <c r="E1078" t="s">
        <v>45</v>
      </c>
      <c r="F1078">
        <v>9465</v>
      </c>
      <c r="G1078">
        <v>4</v>
      </c>
      <c r="H1078" t="s">
        <v>46</v>
      </c>
      <c r="I1078" t="s">
        <v>31</v>
      </c>
      <c r="J1078">
        <v>1</v>
      </c>
      <c r="K1078">
        <v>3</v>
      </c>
      <c r="L1078" t="s">
        <v>23</v>
      </c>
      <c r="M1078">
        <v>3</v>
      </c>
      <c r="N1078">
        <v>2</v>
      </c>
      <c r="O1078">
        <v>0</v>
      </c>
      <c r="P1078">
        <v>4</v>
      </c>
      <c r="Q1078" t="s">
        <v>27</v>
      </c>
    </row>
    <row r="1079" spans="1:17" x14ac:dyDescent="0.3">
      <c r="A1079" t="s">
        <v>1124</v>
      </c>
      <c r="B1079">
        <v>40</v>
      </c>
      <c r="C1079" t="s">
        <v>18</v>
      </c>
      <c r="D1079" t="s">
        <v>19</v>
      </c>
      <c r="E1079" t="s">
        <v>40</v>
      </c>
      <c r="F1079">
        <v>10246</v>
      </c>
      <c r="G1079">
        <v>1</v>
      </c>
      <c r="H1079" t="s">
        <v>46</v>
      </c>
      <c r="I1079" t="s">
        <v>22</v>
      </c>
      <c r="J1079">
        <v>4</v>
      </c>
      <c r="K1079">
        <v>4</v>
      </c>
      <c r="L1079" t="s">
        <v>23</v>
      </c>
      <c r="M1079">
        <v>4</v>
      </c>
      <c r="N1079">
        <v>14</v>
      </c>
      <c r="O1079">
        <v>2</v>
      </c>
      <c r="P1079">
        <v>4</v>
      </c>
      <c r="Q1079" t="s">
        <v>27</v>
      </c>
    </row>
    <row r="1080" spans="1:17" x14ac:dyDescent="0.3">
      <c r="A1080" t="s">
        <v>1125</v>
      </c>
      <c r="B1080">
        <v>34</v>
      </c>
      <c r="C1080" t="s">
        <v>35</v>
      </c>
      <c r="D1080" t="s">
        <v>19</v>
      </c>
      <c r="E1080" t="s">
        <v>20</v>
      </c>
      <c r="F1080">
        <v>12421</v>
      </c>
      <c r="G1080">
        <v>3</v>
      </c>
      <c r="H1080" t="s">
        <v>21</v>
      </c>
      <c r="I1080" t="s">
        <v>31</v>
      </c>
      <c r="J1080">
        <v>1</v>
      </c>
      <c r="K1080">
        <v>4</v>
      </c>
      <c r="L1080" t="s">
        <v>27</v>
      </c>
      <c r="M1080">
        <v>3</v>
      </c>
      <c r="N1080">
        <v>16</v>
      </c>
      <c r="O1080">
        <v>6</v>
      </c>
      <c r="P1080">
        <v>1</v>
      </c>
      <c r="Q1080" t="s">
        <v>27</v>
      </c>
    </row>
    <row r="1081" spans="1:17" x14ac:dyDescent="0.3">
      <c r="A1081" t="s">
        <v>1126</v>
      </c>
      <c r="B1081">
        <v>18</v>
      </c>
      <c r="C1081" t="s">
        <v>35</v>
      </c>
      <c r="D1081" t="s">
        <v>25</v>
      </c>
      <c r="E1081" t="s">
        <v>26</v>
      </c>
      <c r="F1081">
        <v>11077</v>
      </c>
      <c r="G1081">
        <v>0</v>
      </c>
      <c r="H1081" t="s">
        <v>37</v>
      </c>
      <c r="I1081" t="s">
        <v>56</v>
      </c>
      <c r="J1081">
        <v>1</v>
      </c>
      <c r="K1081">
        <v>1</v>
      </c>
      <c r="L1081" t="s">
        <v>27</v>
      </c>
      <c r="M1081">
        <v>3</v>
      </c>
      <c r="N1081">
        <v>23</v>
      </c>
      <c r="O1081">
        <v>5</v>
      </c>
      <c r="P1081">
        <v>2</v>
      </c>
      <c r="Q1081" t="s">
        <v>27</v>
      </c>
    </row>
    <row r="1082" spans="1:17" x14ac:dyDescent="0.3">
      <c r="A1082" t="s">
        <v>1127</v>
      </c>
      <c r="B1082">
        <v>31</v>
      </c>
      <c r="C1082" t="s">
        <v>35</v>
      </c>
      <c r="D1082" t="s">
        <v>74</v>
      </c>
      <c r="E1082" t="s">
        <v>75</v>
      </c>
      <c r="F1082">
        <v>8943</v>
      </c>
      <c r="G1082">
        <v>4</v>
      </c>
      <c r="H1082" t="s">
        <v>37</v>
      </c>
      <c r="I1082" t="s">
        <v>22</v>
      </c>
      <c r="J1082">
        <v>3</v>
      </c>
      <c r="K1082">
        <v>2</v>
      </c>
      <c r="L1082" t="s">
        <v>27</v>
      </c>
      <c r="M1082">
        <v>1</v>
      </c>
      <c r="N1082">
        <v>15</v>
      </c>
      <c r="O1082">
        <v>1</v>
      </c>
      <c r="P1082">
        <v>4</v>
      </c>
      <c r="Q1082" t="s">
        <v>27</v>
      </c>
    </row>
    <row r="1083" spans="1:17" x14ac:dyDescent="0.3">
      <c r="A1083" t="s">
        <v>1128</v>
      </c>
      <c r="B1083">
        <v>39</v>
      </c>
      <c r="C1083" t="s">
        <v>35</v>
      </c>
      <c r="D1083" t="s">
        <v>70</v>
      </c>
      <c r="E1083" t="s">
        <v>71</v>
      </c>
      <c r="F1083">
        <v>7129</v>
      </c>
      <c r="G1083">
        <v>1</v>
      </c>
      <c r="H1083" t="s">
        <v>21</v>
      </c>
      <c r="I1083" t="s">
        <v>31</v>
      </c>
      <c r="J1083">
        <v>2</v>
      </c>
      <c r="K1083">
        <v>4</v>
      </c>
      <c r="L1083" t="s">
        <v>27</v>
      </c>
      <c r="M1083">
        <v>3</v>
      </c>
      <c r="N1083">
        <v>7</v>
      </c>
      <c r="O1083">
        <v>2</v>
      </c>
      <c r="P1083">
        <v>2</v>
      </c>
      <c r="Q1083" t="s">
        <v>27</v>
      </c>
    </row>
    <row r="1084" spans="1:17" x14ac:dyDescent="0.3">
      <c r="A1084" t="s">
        <v>1129</v>
      </c>
      <c r="B1084">
        <v>28</v>
      </c>
      <c r="C1084" t="s">
        <v>35</v>
      </c>
      <c r="D1084" t="s">
        <v>70</v>
      </c>
      <c r="E1084" t="s">
        <v>71</v>
      </c>
      <c r="F1084">
        <v>10323</v>
      </c>
      <c r="G1084">
        <v>10</v>
      </c>
      <c r="H1084" t="s">
        <v>37</v>
      </c>
      <c r="I1084" t="s">
        <v>22</v>
      </c>
      <c r="J1084">
        <v>4</v>
      </c>
      <c r="K1084">
        <v>2</v>
      </c>
      <c r="L1084" t="s">
        <v>27</v>
      </c>
      <c r="M1084">
        <v>3</v>
      </c>
      <c r="N1084">
        <v>9</v>
      </c>
      <c r="O1084">
        <v>5</v>
      </c>
      <c r="P1084">
        <v>2</v>
      </c>
      <c r="Q1084" t="s">
        <v>27</v>
      </c>
    </row>
    <row r="1085" spans="1:17" x14ac:dyDescent="0.3">
      <c r="A1085" t="s">
        <v>1130</v>
      </c>
      <c r="B1085">
        <v>34</v>
      </c>
      <c r="C1085" t="s">
        <v>18</v>
      </c>
      <c r="D1085" t="s">
        <v>19</v>
      </c>
      <c r="E1085" t="s">
        <v>36</v>
      </c>
      <c r="F1085">
        <v>10234</v>
      </c>
      <c r="G1085">
        <v>7</v>
      </c>
      <c r="H1085" t="s">
        <v>37</v>
      </c>
      <c r="I1085" t="s">
        <v>31</v>
      </c>
      <c r="J1085">
        <v>4</v>
      </c>
      <c r="K1085">
        <v>1</v>
      </c>
      <c r="L1085" t="s">
        <v>27</v>
      </c>
      <c r="M1085">
        <v>4</v>
      </c>
      <c r="N1085">
        <v>29</v>
      </c>
      <c r="O1085">
        <v>0</v>
      </c>
      <c r="P1085">
        <v>4</v>
      </c>
      <c r="Q1085" t="s">
        <v>27</v>
      </c>
    </row>
    <row r="1086" spans="1:17" x14ac:dyDescent="0.3">
      <c r="A1086" t="s">
        <v>1131</v>
      </c>
      <c r="B1086">
        <v>36</v>
      </c>
      <c r="C1086" t="s">
        <v>35</v>
      </c>
      <c r="D1086" t="s">
        <v>25</v>
      </c>
      <c r="E1086" t="s">
        <v>26</v>
      </c>
      <c r="F1086">
        <v>10220</v>
      </c>
      <c r="G1086">
        <v>9</v>
      </c>
      <c r="H1086" t="s">
        <v>37</v>
      </c>
      <c r="I1086" t="s">
        <v>31</v>
      </c>
      <c r="J1086">
        <v>2</v>
      </c>
      <c r="K1086">
        <v>1</v>
      </c>
      <c r="L1086" t="s">
        <v>27</v>
      </c>
      <c r="M1086">
        <v>4</v>
      </c>
      <c r="N1086">
        <v>30</v>
      </c>
      <c r="O1086">
        <v>1</v>
      </c>
      <c r="P1086">
        <v>1</v>
      </c>
      <c r="Q1086" t="s">
        <v>27</v>
      </c>
    </row>
    <row r="1087" spans="1:17" x14ac:dyDescent="0.3">
      <c r="A1087" t="s">
        <v>1132</v>
      </c>
      <c r="B1087">
        <v>31</v>
      </c>
      <c r="C1087" t="s">
        <v>18</v>
      </c>
      <c r="D1087" t="s">
        <v>29</v>
      </c>
      <c r="E1087" t="s">
        <v>49</v>
      </c>
      <c r="F1087">
        <v>13075</v>
      </c>
      <c r="G1087">
        <v>11</v>
      </c>
      <c r="H1087" t="s">
        <v>37</v>
      </c>
      <c r="I1087" t="s">
        <v>22</v>
      </c>
      <c r="J1087">
        <v>1</v>
      </c>
      <c r="K1087">
        <v>4</v>
      </c>
      <c r="L1087" t="s">
        <v>27</v>
      </c>
      <c r="M1087">
        <v>3</v>
      </c>
      <c r="N1087">
        <v>12</v>
      </c>
      <c r="O1087">
        <v>2</v>
      </c>
      <c r="P1087">
        <v>4</v>
      </c>
      <c r="Q1087" t="s">
        <v>27</v>
      </c>
    </row>
    <row r="1088" spans="1:17" x14ac:dyDescent="0.3">
      <c r="A1088" t="s">
        <v>1133</v>
      </c>
      <c r="B1088">
        <v>35</v>
      </c>
      <c r="C1088" t="s">
        <v>35</v>
      </c>
      <c r="D1088" t="s">
        <v>44</v>
      </c>
      <c r="E1088" t="s">
        <v>45</v>
      </c>
      <c r="F1088">
        <v>5309</v>
      </c>
      <c r="G1088">
        <v>3</v>
      </c>
      <c r="H1088" t="s">
        <v>37</v>
      </c>
      <c r="I1088" t="s">
        <v>56</v>
      </c>
      <c r="J1088">
        <v>3</v>
      </c>
      <c r="K1088">
        <v>4</v>
      </c>
      <c r="L1088" t="s">
        <v>27</v>
      </c>
      <c r="M1088">
        <v>3</v>
      </c>
      <c r="N1088">
        <v>16</v>
      </c>
      <c r="O1088">
        <v>1</v>
      </c>
      <c r="P1088">
        <v>1</v>
      </c>
      <c r="Q1088" t="s">
        <v>27</v>
      </c>
    </row>
    <row r="1089" spans="1:17" x14ac:dyDescent="0.3">
      <c r="A1089" t="s">
        <v>1134</v>
      </c>
      <c r="B1089">
        <v>32</v>
      </c>
      <c r="C1089" t="s">
        <v>35</v>
      </c>
      <c r="D1089" t="s">
        <v>25</v>
      </c>
      <c r="E1089" t="s">
        <v>26</v>
      </c>
      <c r="F1089">
        <v>8945</v>
      </c>
      <c r="G1089">
        <v>3</v>
      </c>
      <c r="H1089" t="s">
        <v>37</v>
      </c>
      <c r="I1089" t="s">
        <v>31</v>
      </c>
      <c r="J1089">
        <v>4</v>
      </c>
      <c r="K1089">
        <v>3</v>
      </c>
      <c r="L1089" t="s">
        <v>23</v>
      </c>
      <c r="M1089">
        <v>2</v>
      </c>
      <c r="N1089">
        <v>7</v>
      </c>
      <c r="O1089">
        <v>4</v>
      </c>
      <c r="P1089">
        <v>2</v>
      </c>
      <c r="Q1089" t="s">
        <v>27</v>
      </c>
    </row>
    <row r="1090" spans="1:17" x14ac:dyDescent="0.3">
      <c r="A1090" t="s">
        <v>1135</v>
      </c>
      <c r="B1090">
        <v>33</v>
      </c>
      <c r="C1090" t="s">
        <v>18</v>
      </c>
      <c r="D1090" t="s">
        <v>74</v>
      </c>
      <c r="E1090" t="s">
        <v>75</v>
      </c>
      <c r="F1090">
        <v>9891</v>
      </c>
      <c r="G1090">
        <v>9</v>
      </c>
      <c r="H1090" t="s">
        <v>21</v>
      </c>
      <c r="I1090" t="s">
        <v>31</v>
      </c>
      <c r="J1090">
        <v>2</v>
      </c>
      <c r="K1090">
        <v>3</v>
      </c>
      <c r="L1090" t="s">
        <v>27</v>
      </c>
      <c r="M1090">
        <v>4</v>
      </c>
      <c r="N1090">
        <v>24</v>
      </c>
      <c r="O1090">
        <v>2</v>
      </c>
      <c r="P1090">
        <v>2</v>
      </c>
      <c r="Q1090" t="s">
        <v>27</v>
      </c>
    </row>
    <row r="1091" spans="1:17" x14ac:dyDescent="0.3">
      <c r="A1091" t="s">
        <v>1136</v>
      </c>
      <c r="B1091">
        <v>48</v>
      </c>
      <c r="C1091" t="s">
        <v>35</v>
      </c>
      <c r="D1091" t="s">
        <v>29</v>
      </c>
      <c r="E1091" t="s">
        <v>49</v>
      </c>
      <c r="F1091">
        <v>6721</v>
      </c>
      <c r="G1091">
        <v>2</v>
      </c>
      <c r="H1091" t="s">
        <v>37</v>
      </c>
      <c r="I1091" t="s">
        <v>22</v>
      </c>
      <c r="J1091">
        <v>2</v>
      </c>
      <c r="K1091">
        <v>3</v>
      </c>
      <c r="L1091" t="s">
        <v>27</v>
      </c>
      <c r="M1091">
        <v>2</v>
      </c>
      <c r="N1091">
        <v>9</v>
      </c>
      <c r="O1091">
        <v>6</v>
      </c>
      <c r="P1091">
        <v>4</v>
      </c>
      <c r="Q1091" t="s">
        <v>27</v>
      </c>
    </row>
    <row r="1092" spans="1:17" x14ac:dyDescent="0.3">
      <c r="A1092" t="s">
        <v>1137</v>
      </c>
      <c r="B1092">
        <v>22</v>
      </c>
      <c r="C1092" t="s">
        <v>35</v>
      </c>
      <c r="D1092" t="s">
        <v>70</v>
      </c>
      <c r="E1092" t="s">
        <v>144</v>
      </c>
      <c r="F1092">
        <v>7160</v>
      </c>
      <c r="G1092">
        <v>0</v>
      </c>
      <c r="H1092" t="s">
        <v>46</v>
      </c>
      <c r="I1092" t="s">
        <v>56</v>
      </c>
      <c r="J1092">
        <v>3</v>
      </c>
      <c r="K1092">
        <v>1</v>
      </c>
      <c r="L1092" t="s">
        <v>23</v>
      </c>
      <c r="M1092">
        <v>3</v>
      </c>
      <c r="N1092">
        <v>24</v>
      </c>
      <c r="O1092">
        <v>3</v>
      </c>
      <c r="P1092">
        <v>2</v>
      </c>
      <c r="Q1092" t="s">
        <v>27</v>
      </c>
    </row>
    <row r="1093" spans="1:17" x14ac:dyDescent="0.3">
      <c r="A1093" t="s">
        <v>1138</v>
      </c>
      <c r="B1093">
        <v>42</v>
      </c>
      <c r="C1093" t="s">
        <v>18</v>
      </c>
      <c r="D1093" t="s">
        <v>19</v>
      </c>
      <c r="E1093" t="s">
        <v>20</v>
      </c>
      <c r="F1093">
        <v>9965</v>
      </c>
      <c r="G1093">
        <v>1</v>
      </c>
      <c r="H1093" t="s">
        <v>37</v>
      </c>
      <c r="I1093" t="s">
        <v>31</v>
      </c>
      <c r="J1093">
        <v>4</v>
      </c>
      <c r="K1093">
        <v>4</v>
      </c>
      <c r="L1093" t="s">
        <v>27</v>
      </c>
      <c r="M1093">
        <v>3</v>
      </c>
      <c r="N1093">
        <v>21</v>
      </c>
      <c r="O1093">
        <v>5</v>
      </c>
      <c r="P1093">
        <v>1</v>
      </c>
      <c r="Q1093" t="s">
        <v>27</v>
      </c>
    </row>
    <row r="1094" spans="1:17" x14ac:dyDescent="0.3">
      <c r="A1094" t="s">
        <v>1139</v>
      </c>
      <c r="B1094">
        <v>33</v>
      </c>
      <c r="C1094" t="s">
        <v>35</v>
      </c>
      <c r="D1094" t="s">
        <v>44</v>
      </c>
      <c r="E1094" t="s">
        <v>45</v>
      </c>
      <c r="F1094">
        <v>10092</v>
      </c>
      <c r="G1094">
        <v>5</v>
      </c>
      <c r="H1094" t="s">
        <v>37</v>
      </c>
      <c r="I1094" t="s">
        <v>56</v>
      </c>
      <c r="J1094">
        <v>3</v>
      </c>
      <c r="K1094">
        <v>3</v>
      </c>
      <c r="L1094" t="s">
        <v>27</v>
      </c>
      <c r="M1094">
        <v>3</v>
      </c>
      <c r="N1094">
        <v>30</v>
      </c>
      <c r="O1094">
        <v>2</v>
      </c>
      <c r="P1094">
        <v>3</v>
      </c>
      <c r="Q1094" t="s">
        <v>27</v>
      </c>
    </row>
    <row r="1095" spans="1:17" x14ac:dyDescent="0.3">
      <c r="A1095" t="s">
        <v>1140</v>
      </c>
      <c r="B1095">
        <v>29</v>
      </c>
      <c r="C1095" t="s">
        <v>35</v>
      </c>
      <c r="D1095" t="s">
        <v>70</v>
      </c>
      <c r="E1095" t="s">
        <v>144</v>
      </c>
      <c r="F1095">
        <v>6175</v>
      </c>
      <c r="G1095">
        <v>5</v>
      </c>
      <c r="H1095" t="s">
        <v>21</v>
      </c>
      <c r="I1095" t="s">
        <v>22</v>
      </c>
      <c r="J1095">
        <v>1</v>
      </c>
      <c r="K1095">
        <v>1</v>
      </c>
      <c r="L1095" t="s">
        <v>27</v>
      </c>
      <c r="M1095">
        <v>2</v>
      </c>
      <c r="N1095">
        <v>27</v>
      </c>
      <c r="O1095">
        <v>6</v>
      </c>
      <c r="P1095">
        <v>4</v>
      </c>
      <c r="Q1095" t="s">
        <v>27</v>
      </c>
    </row>
    <row r="1096" spans="1:17" x14ac:dyDescent="0.3">
      <c r="A1096" t="s">
        <v>1141</v>
      </c>
      <c r="B1096">
        <v>24</v>
      </c>
      <c r="C1096" t="s">
        <v>35</v>
      </c>
      <c r="D1096" t="s">
        <v>44</v>
      </c>
      <c r="E1096" t="s">
        <v>45</v>
      </c>
      <c r="F1096">
        <v>8460</v>
      </c>
      <c r="G1096">
        <v>2</v>
      </c>
      <c r="H1096" t="s">
        <v>46</v>
      </c>
      <c r="I1096" t="s">
        <v>31</v>
      </c>
      <c r="J1096">
        <v>4</v>
      </c>
      <c r="K1096">
        <v>3</v>
      </c>
      <c r="L1096" t="s">
        <v>23</v>
      </c>
      <c r="M1096">
        <v>3</v>
      </c>
      <c r="N1096">
        <v>13</v>
      </c>
      <c r="O1096">
        <v>4</v>
      </c>
      <c r="P1096">
        <v>1</v>
      </c>
      <c r="Q1096" t="s">
        <v>27</v>
      </c>
    </row>
    <row r="1097" spans="1:17" x14ac:dyDescent="0.3">
      <c r="A1097" t="s">
        <v>1142</v>
      </c>
      <c r="B1097">
        <v>23</v>
      </c>
      <c r="C1097" t="s">
        <v>18</v>
      </c>
      <c r="D1097" t="s">
        <v>19</v>
      </c>
      <c r="E1097" t="s">
        <v>40</v>
      </c>
      <c r="F1097">
        <v>6782</v>
      </c>
      <c r="G1097">
        <v>2</v>
      </c>
      <c r="H1097" t="s">
        <v>21</v>
      </c>
      <c r="I1097" t="s">
        <v>22</v>
      </c>
      <c r="J1097">
        <v>1</v>
      </c>
      <c r="K1097">
        <v>4</v>
      </c>
      <c r="L1097" t="s">
        <v>27</v>
      </c>
      <c r="M1097">
        <v>3</v>
      </c>
      <c r="N1097">
        <v>19</v>
      </c>
      <c r="O1097">
        <v>4</v>
      </c>
      <c r="P1097">
        <v>4</v>
      </c>
      <c r="Q1097" t="s">
        <v>27</v>
      </c>
    </row>
    <row r="1098" spans="1:17" x14ac:dyDescent="0.3">
      <c r="A1098" t="s">
        <v>1143</v>
      </c>
      <c r="B1098">
        <v>25</v>
      </c>
      <c r="C1098" t="s">
        <v>18</v>
      </c>
      <c r="D1098" t="s">
        <v>74</v>
      </c>
      <c r="E1098" t="s">
        <v>75</v>
      </c>
      <c r="F1098">
        <v>11802</v>
      </c>
      <c r="G1098">
        <v>2</v>
      </c>
      <c r="H1098" t="s">
        <v>37</v>
      </c>
      <c r="I1098" t="s">
        <v>22</v>
      </c>
      <c r="J1098">
        <v>3</v>
      </c>
      <c r="K1098">
        <v>2</v>
      </c>
      <c r="L1098" t="s">
        <v>27</v>
      </c>
      <c r="M1098">
        <v>2</v>
      </c>
      <c r="N1098">
        <v>3</v>
      </c>
      <c r="O1098">
        <v>3</v>
      </c>
      <c r="P1098">
        <v>3</v>
      </c>
      <c r="Q1098" t="s">
        <v>27</v>
      </c>
    </row>
    <row r="1099" spans="1:17" x14ac:dyDescent="0.3">
      <c r="A1099" t="s">
        <v>1144</v>
      </c>
      <c r="B1099">
        <v>34</v>
      </c>
      <c r="C1099" t="s">
        <v>35</v>
      </c>
      <c r="D1099" t="s">
        <v>74</v>
      </c>
      <c r="E1099" t="s">
        <v>75</v>
      </c>
      <c r="F1099">
        <v>5139</v>
      </c>
      <c r="G1099">
        <v>0</v>
      </c>
      <c r="H1099" t="s">
        <v>21</v>
      </c>
      <c r="I1099" t="s">
        <v>31</v>
      </c>
      <c r="J1099">
        <v>1</v>
      </c>
      <c r="K1099">
        <v>4</v>
      </c>
      <c r="L1099" t="s">
        <v>27</v>
      </c>
      <c r="M1099">
        <v>2</v>
      </c>
      <c r="N1099">
        <v>29</v>
      </c>
      <c r="O1099">
        <v>5</v>
      </c>
      <c r="P1099">
        <v>4</v>
      </c>
      <c r="Q1099" t="s">
        <v>27</v>
      </c>
    </row>
    <row r="1100" spans="1:17" x14ac:dyDescent="0.3">
      <c r="A1100" t="s">
        <v>1145</v>
      </c>
      <c r="B1100">
        <v>36</v>
      </c>
      <c r="C1100" t="s">
        <v>35</v>
      </c>
      <c r="D1100" t="s">
        <v>19</v>
      </c>
      <c r="E1100" t="s">
        <v>40</v>
      </c>
      <c r="F1100">
        <v>6219</v>
      </c>
      <c r="G1100">
        <v>6</v>
      </c>
      <c r="H1100" t="s">
        <v>37</v>
      </c>
      <c r="I1100" t="s">
        <v>31</v>
      </c>
      <c r="J1100">
        <v>1</v>
      </c>
      <c r="K1100">
        <v>3</v>
      </c>
      <c r="L1100" t="s">
        <v>27</v>
      </c>
      <c r="M1100">
        <v>2</v>
      </c>
      <c r="N1100">
        <v>21</v>
      </c>
      <c r="O1100">
        <v>0</v>
      </c>
      <c r="P1100">
        <v>4</v>
      </c>
      <c r="Q1100" t="s">
        <v>27</v>
      </c>
    </row>
    <row r="1101" spans="1:17" x14ac:dyDescent="0.3">
      <c r="A1101" t="s">
        <v>1146</v>
      </c>
      <c r="B1101">
        <v>42</v>
      </c>
      <c r="C1101" t="s">
        <v>18</v>
      </c>
      <c r="D1101" t="s">
        <v>44</v>
      </c>
      <c r="E1101" t="s">
        <v>20</v>
      </c>
      <c r="F1101">
        <v>16971</v>
      </c>
      <c r="G1101">
        <v>1</v>
      </c>
      <c r="H1101" t="s">
        <v>37</v>
      </c>
      <c r="I1101" t="s">
        <v>22</v>
      </c>
      <c r="J1101">
        <v>2</v>
      </c>
      <c r="K1101">
        <v>2</v>
      </c>
      <c r="L1101" t="s">
        <v>27</v>
      </c>
      <c r="M1101">
        <v>2</v>
      </c>
      <c r="N1101">
        <v>16</v>
      </c>
      <c r="O1101">
        <v>2</v>
      </c>
      <c r="P1101">
        <v>2</v>
      </c>
      <c r="Q1101" t="s">
        <v>27</v>
      </c>
    </row>
    <row r="1102" spans="1:17" x14ac:dyDescent="0.3">
      <c r="A1102" t="s">
        <v>1147</v>
      </c>
      <c r="B1102">
        <v>38</v>
      </c>
      <c r="C1102" t="s">
        <v>18</v>
      </c>
      <c r="D1102" t="s">
        <v>25</v>
      </c>
      <c r="E1102" t="s">
        <v>20</v>
      </c>
      <c r="F1102">
        <v>12740</v>
      </c>
      <c r="G1102">
        <v>2</v>
      </c>
      <c r="H1102" t="s">
        <v>21</v>
      </c>
      <c r="I1102" t="s">
        <v>31</v>
      </c>
      <c r="J1102">
        <v>4</v>
      </c>
      <c r="K1102">
        <v>4</v>
      </c>
      <c r="L1102" t="s">
        <v>27</v>
      </c>
      <c r="M1102">
        <v>2</v>
      </c>
      <c r="N1102">
        <v>1</v>
      </c>
      <c r="O1102">
        <v>6</v>
      </c>
      <c r="P1102">
        <v>4</v>
      </c>
      <c r="Q1102" t="s">
        <v>27</v>
      </c>
    </row>
    <row r="1103" spans="1:17" x14ac:dyDescent="0.3">
      <c r="A1103" t="s">
        <v>1148</v>
      </c>
      <c r="B1103">
        <v>29</v>
      </c>
      <c r="C1103" t="s">
        <v>18</v>
      </c>
      <c r="D1103" t="s">
        <v>70</v>
      </c>
      <c r="E1103" t="s">
        <v>71</v>
      </c>
      <c r="F1103">
        <v>7240</v>
      </c>
      <c r="G1103">
        <v>2</v>
      </c>
      <c r="H1103" t="s">
        <v>21</v>
      </c>
      <c r="I1103" t="s">
        <v>22</v>
      </c>
      <c r="J1103">
        <v>1</v>
      </c>
      <c r="K1103">
        <v>3</v>
      </c>
      <c r="L1103" t="s">
        <v>27</v>
      </c>
      <c r="M1103">
        <v>4</v>
      </c>
      <c r="N1103">
        <v>15</v>
      </c>
      <c r="O1103">
        <v>4</v>
      </c>
      <c r="P1103">
        <v>3</v>
      </c>
      <c r="Q1103" t="s">
        <v>27</v>
      </c>
    </row>
    <row r="1104" spans="1:17" x14ac:dyDescent="0.3">
      <c r="A1104" t="s">
        <v>1149</v>
      </c>
      <c r="B1104">
        <v>35</v>
      </c>
      <c r="C1104" t="s">
        <v>35</v>
      </c>
      <c r="D1104" t="s">
        <v>29</v>
      </c>
      <c r="E1104" t="s">
        <v>49</v>
      </c>
      <c r="F1104">
        <v>7613</v>
      </c>
      <c r="G1104">
        <v>0</v>
      </c>
      <c r="H1104" t="s">
        <v>21</v>
      </c>
      <c r="I1104" t="s">
        <v>31</v>
      </c>
      <c r="J1104">
        <v>2</v>
      </c>
      <c r="K1104">
        <v>3</v>
      </c>
      <c r="L1104" t="s">
        <v>27</v>
      </c>
      <c r="M1104">
        <v>3</v>
      </c>
      <c r="N1104">
        <v>26</v>
      </c>
      <c r="O1104">
        <v>4</v>
      </c>
      <c r="P1104">
        <v>4</v>
      </c>
      <c r="Q1104" t="s">
        <v>27</v>
      </c>
    </row>
    <row r="1105" spans="1:17" x14ac:dyDescent="0.3">
      <c r="A1105" t="s">
        <v>1150</v>
      </c>
      <c r="B1105">
        <v>41</v>
      </c>
      <c r="C1105" t="s">
        <v>35</v>
      </c>
      <c r="D1105" t="s">
        <v>19</v>
      </c>
      <c r="E1105" t="s">
        <v>20</v>
      </c>
      <c r="F1105">
        <v>12595</v>
      </c>
      <c r="G1105">
        <v>2</v>
      </c>
      <c r="H1105" t="s">
        <v>21</v>
      </c>
      <c r="I1105" t="s">
        <v>22</v>
      </c>
      <c r="J1105">
        <v>1</v>
      </c>
      <c r="K1105">
        <v>3</v>
      </c>
      <c r="L1105" t="s">
        <v>27</v>
      </c>
      <c r="M1105">
        <v>3</v>
      </c>
      <c r="N1105">
        <v>22</v>
      </c>
      <c r="O1105">
        <v>6</v>
      </c>
      <c r="P1105">
        <v>2</v>
      </c>
      <c r="Q1105" t="s">
        <v>27</v>
      </c>
    </row>
    <row r="1106" spans="1:17" x14ac:dyDescent="0.3">
      <c r="A1106" t="s">
        <v>1151</v>
      </c>
      <c r="B1106">
        <v>50</v>
      </c>
      <c r="C1106" t="s">
        <v>18</v>
      </c>
      <c r="D1106" t="s">
        <v>19</v>
      </c>
      <c r="E1106" t="s">
        <v>20</v>
      </c>
      <c r="F1106">
        <v>15006</v>
      </c>
      <c r="G1106">
        <v>3</v>
      </c>
      <c r="H1106" t="s">
        <v>21</v>
      </c>
      <c r="I1106" t="s">
        <v>31</v>
      </c>
      <c r="J1106">
        <v>4</v>
      </c>
      <c r="K1106">
        <v>3</v>
      </c>
      <c r="L1106" t="s">
        <v>23</v>
      </c>
      <c r="M1106">
        <v>3</v>
      </c>
      <c r="N1106">
        <v>21</v>
      </c>
      <c r="O1106">
        <v>2</v>
      </c>
      <c r="P1106">
        <v>2</v>
      </c>
      <c r="Q1106" t="s">
        <v>27</v>
      </c>
    </row>
    <row r="1107" spans="1:17" x14ac:dyDescent="0.3">
      <c r="A1107" t="s">
        <v>1152</v>
      </c>
      <c r="B1107">
        <v>46</v>
      </c>
      <c r="C1107" t="s">
        <v>35</v>
      </c>
      <c r="D1107" t="s">
        <v>25</v>
      </c>
      <c r="E1107" t="s">
        <v>20</v>
      </c>
      <c r="F1107">
        <v>11650</v>
      </c>
      <c r="G1107">
        <v>3</v>
      </c>
      <c r="H1107" t="s">
        <v>37</v>
      </c>
      <c r="I1107" t="s">
        <v>22</v>
      </c>
      <c r="J1107">
        <v>3</v>
      </c>
      <c r="K1107">
        <v>3</v>
      </c>
      <c r="L1107" t="s">
        <v>27</v>
      </c>
      <c r="M1107">
        <v>4</v>
      </c>
      <c r="N1107">
        <v>17</v>
      </c>
      <c r="O1107">
        <v>0</v>
      </c>
      <c r="P1107">
        <v>3</v>
      </c>
      <c r="Q1107" t="s">
        <v>27</v>
      </c>
    </row>
    <row r="1108" spans="1:17" x14ac:dyDescent="0.3">
      <c r="A1108" t="s">
        <v>1153</v>
      </c>
      <c r="B1108">
        <v>37</v>
      </c>
      <c r="C1108" t="s">
        <v>18</v>
      </c>
      <c r="D1108" t="s">
        <v>25</v>
      </c>
      <c r="E1108" t="s">
        <v>61</v>
      </c>
      <c r="F1108">
        <v>13385</v>
      </c>
      <c r="G1108">
        <v>11</v>
      </c>
      <c r="H1108" t="s">
        <v>37</v>
      </c>
      <c r="I1108" t="s">
        <v>22</v>
      </c>
      <c r="J1108">
        <v>2</v>
      </c>
      <c r="K1108">
        <v>3</v>
      </c>
      <c r="L1108" t="s">
        <v>27</v>
      </c>
      <c r="M1108">
        <v>2</v>
      </c>
      <c r="N1108">
        <v>2</v>
      </c>
      <c r="O1108">
        <v>1</v>
      </c>
      <c r="P1108">
        <v>2</v>
      </c>
      <c r="Q1108" t="s">
        <v>27</v>
      </c>
    </row>
    <row r="1109" spans="1:17" x14ac:dyDescent="0.3">
      <c r="A1109" t="s">
        <v>1154</v>
      </c>
      <c r="B1109">
        <v>32</v>
      </c>
      <c r="C1109" t="s">
        <v>35</v>
      </c>
      <c r="D1109" t="s">
        <v>70</v>
      </c>
      <c r="E1109" t="s">
        <v>71</v>
      </c>
      <c r="F1109">
        <v>10146</v>
      </c>
      <c r="G1109">
        <v>5</v>
      </c>
      <c r="H1109" t="s">
        <v>37</v>
      </c>
      <c r="I1109" t="s">
        <v>31</v>
      </c>
      <c r="J1109">
        <v>3</v>
      </c>
      <c r="K1109">
        <v>4</v>
      </c>
      <c r="L1109" t="s">
        <v>27</v>
      </c>
      <c r="M1109">
        <v>4</v>
      </c>
      <c r="N1109">
        <v>6</v>
      </c>
      <c r="O1109">
        <v>0</v>
      </c>
      <c r="P1109">
        <v>4</v>
      </c>
      <c r="Q1109" t="s">
        <v>23</v>
      </c>
    </row>
    <row r="1110" spans="1:17" x14ac:dyDescent="0.3">
      <c r="A1110" t="s">
        <v>1155</v>
      </c>
      <c r="B1110">
        <v>44</v>
      </c>
      <c r="C1110" t="s">
        <v>18</v>
      </c>
      <c r="D1110" t="s">
        <v>25</v>
      </c>
      <c r="E1110" t="s">
        <v>26</v>
      </c>
      <c r="F1110">
        <v>9895</v>
      </c>
      <c r="G1110">
        <v>4</v>
      </c>
      <c r="H1110" t="s">
        <v>46</v>
      </c>
      <c r="I1110" t="s">
        <v>56</v>
      </c>
      <c r="J1110">
        <v>3</v>
      </c>
      <c r="K1110">
        <v>2</v>
      </c>
      <c r="L1110" t="s">
        <v>27</v>
      </c>
      <c r="M1110">
        <v>3</v>
      </c>
      <c r="N1110">
        <v>23</v>
      </c>
      <c r="O1110">
        <v>5</v>
      </c>
      <c r="P1110">
        <v>3</v>
      </c>
      <c r="Q1110" t="s">
        <v>27</v>
      </c>
    </row>
    <row r="1111" spans="1:17" x14ac:dyDescent="0.3">
      <c r="A1111" t="s">
        <v>1156</v>
      </c>
      <c r="B1111">
        <v>37</v>
      </c>
      <c r="C1111" t="s">
        <v>18</v>
      </c>
      <c r="D1111" t="s">
        <v>29</v>
      </c>
      <c r="E1111" t="s">
        <v>30</v>
      </c>
      <c r="F1111">
        <v>5399</v>
      </c>
      <c r="G1111">
        <v>1</v>
      </c>
      <c r="H1111" t="s">
        <v>21</v>
      </c>
      <c r="I1111" t="s">
        <v>22</v>
      </c>
      <c r="J1111">
        <v>1</v>
      </c>
      <c r="K1111">
        <v>2</v>
      </c>
      <c r="L1111" t="s">
        <v>23</v>
      </c>
      <c r="M1111">
        <v>2</v>
      </c>
      <c r="N1111">
        <v>24</v>
      </c>
      <c r="O1111">
        <v>4</v>
      </c>
      <c r="P1111">
        <v>1</v>
      </c>
      <c r="Q1111" t="s">
        <v>23</v>
      </c>
    </row>
    <row r="1112" spans="1:17" x14ac:dyDescent="0.3">
      <c r="A1112" t="s">
        <v>1157</v>
      </c>
      <c r="B1112">
        <v>38</v>
      </c>
      <c r="C1112" t="s">
        <v>35</v>
      </c>
      <c r="D1112" t="s">
        <v>70</v>
      </c>
      <c r="E1112" t="s">
        <v>71</v>
      </c>
      <c r="F1112">
        <v>4104</v>
      </c>
      <c r="G1112">
        <v>0</v>
      </c>
      <c r="H1112" t="s">
        <v>21</v>
      </c>
      <c r="I1112" t="s">
        <v>31</v>
      </c>
      <c r="J1112">
        <v>3</v>
      </c>
      <c r="K1112">
        <v>2</v>
      </c>
      <c r="L1112" t="s">
        <v>27</v>
      </c>
      <c r="M1112">
        <v>1</v>
      </c>
      <c r="N1112">
        <v>24</v>
      </c>
      <c r="O1112">
        <v>1</v>
      </c>
      <c r="P1112">
        <v>4</v>
      </c>
      <c r="Q1112" t="s">
        <v>27</v>
      </c>
    </row>
    <row r="1113" spans="1:17" x14ac:dyDescent="0.3">
      <c r="A1113" t="s">
        <v>1158</v>
      </c>
      <c r="B1113">
        <v>30</v>
      </c>
      <c r="C1113" t="s">
        <v>18</v>
      </c>
      <c r="D1113" t="s">
        <v>19</v>
      </c>
      <c r="E1113" t="s">
        <v>40</v>
      </c>
      <c r="F1113">
        <v>9655</v>
      </c>
      <c r="G1113">
        <v>8</v>
      </c>
      <c r="H1113" t="s">
        <v>37</v>
      </c>
      <c r="I1113" t="s">
        <v>31</v>
      </c>
      <c r="J1113">
        <v>2</v>
      </c>
      <c r="K1113">
        <v>3</v>
      </c>
      <c r="L1113" t="s">
        <v>27</v>
      </c>
      <c r="M1113">
        <v>3</v>
      </c>
      <c r="N1113">
        <v>24</v>
      </c>
      <c r="O1113">
        <v>6</v>
      </c>
      <c r="P1113">
        <v>3</v>
      </c>
      <c r="Q1113" t="s">
        <v>23</v>
      </c>
    </row>
    <row r="1114" spans="1:17" x14ac:dyDescent="0.3">
      <c r="A1114" t="s">
        <v>1159</v>
      </c>
      <c r="B1114">
        <v>49</v>
      </c>
      <c r="C1114" t="s">
        <v>35</v>
      </c>
      <c r="D1114" t="s">
        <v>29</v>
      </c>
      <c r="E1114" t="s">
        <v>49</v>
      </c>
      <c r="F1114">
        <v>7698</v>
      </c>
      <c r="G1114">
        <v>0</v>
      </c>
      <c r="H1114" t="s">
        <v>46</v>
      </c>
      <c r="I1114" t="s">
        <v>31</v>
      </c>
      <c r="J1114">
        <v>3</v>
      </c>
      <c r="K1114">
        <v>3</v>
      </c>
      <c r="L1114" t="s">
        <v>23</v>
      </c>
      <c r="M1114">
        <v>2</v>
      </c>
      <c r="N1114">
        <v>26</v>
      </c>
      <c r="O1114">
        <v>6</v>
      </c>
      <c r="P1114">
        <v>1</v>
      </c>
      <c r="Q1114" t="s">
        <v>27</v>
      </c>
    </row>
    <row r="1115" spans="1:17" x14ac:dyDescent="0.3">
      <c r="A1115" t="s">
        <v>1160</v>
      </c>
      <c r="B1115">
        <v>40</v>
      </c>
      <c r="C1115" t="s">
        <v>35</v>
      </c>
      <c r="D1115" t="s">
        <v>70</v>
      </c>
      <c r="E1115" t="s">
        <v>71</v>
      </c>
      <c r="F1115">
        <v>12963</v>
      </c>
      <c r="G1115">
        <v>11</v>
      </c>
      <c r="H1115" t="s">
        <v>37</v>
      </c>
      <c r="I1115" t="s">
        <v>31</v>
      </c>
      <c r="J1115">
        <v>2</v>
      </c>
      <c r="K1115">
        <v>2</v>
      </c>
      <c r="L1115" t="s">
        <v>23</v>
      </c>
      <c r="M1115">
        <v>3</v>
      </c>
      <c r="N1115">
        <v>29</v>
      </c>
      <c r="O1115">
        <v>4</v>
      </c>
      <c r="P1115">
        <v>2</v>
      </c>
      <c r="Q1115" t="s">
        <v>23</v>
      </c>
    </row>
    <row r="1116" spans="1:17" x14ac:dyDescent="0.3">
      <c r="A1116" t="s">
        <v>1161</v>
      </c>
      <c r="B1116">
        <v>24</v>
      </c>
      <c r="C1116" t="s">
        <v>18</v>
      </c>
      <c r="D1116" t="s">
        <v>25</v>
      </c>
      <c r="E1116" t="s">
        <v>26</v>
      </c>
      <c r="F1116">
        <v>7732</v>
      </c>
      <c r="G1116">
        <v>1</v>
      </c>
      <c r="H1116" t="s">
        <v>33</v>
      </c>
      <c r="I1116" t="s">
        <v>22</v>
      </c>
      <c r="J1116">
        <v>2</v>
      </c>
      <c r="K1116">
        <v>2</v>
      </c>
      <c r="L1116" t="s">
        <v>27</v>
      </c>
      <c r="M1116">
        <v>3</v>
      </c>
      <c r="N1116">
        <v>8</v>
      </c>
      <c r="O1116">
        <v>6</v>
      </c>
      <c r="P1116">
        <v>1</v>
      </c>
      <c r="Q1116" t="s">
        <v>27</v>
      </c>
    </row>
    <row r="1117" spans="1:17" x14ac:dyDescent="0.3">
      <c r="A1117" t="s">
        <v>1162</v>
      </c>
      <c r="B1117">
        <v>20</v>
      </c>
      <c r="C1117" t="s">
        <v>18</v>
      </c>
      <c r="D1117" t="s">
        <v>70</v>
      </c>
      <c r="E1117" t="s">
        <v>144</v>
      </c>
      <c r="F1117">
        <v>5826</v>
      </c>
      <c r="G1117">
        <v>2</v>
      </c>
      <c r="H1117" t="s">
        <v>37</v>
      </c>
      <c r="I1117" t="s">
        <v>22</v>
      </c>
      <c r="J1117">
        <v>2</v>
      </c>
      <c r="K1117">
        <v>2</v>
      </c>
      <c r="L1117" t="s">
        <v>23</v>
      </c>
      <c r="M1117">
        <v>2</v>
      </c>
      <c r="N1117">
        <v>14</v>
      </c>
      <c r="O1117">
        <v>0</v>
      </c>
      <c r="P1117">
        <v>4</v>
      </c>
      <c r="Q1117" t="s">
        <v>27</v>
      </c>
    </row>
    <row r="1118" spans="1:17" x14ac:dyDescent="0.3">
      <c r="A1118" t="s">
        <v>1163</v>
      </c>
      <c r="B1118">
        <v>35</v>
      </c>
      <c r="C1118" t="s">
        <v>35</v>
      </c>
      <c r="D1118" t="s">
        <v>25</v>
      </c>
      <c r="E1118" t="s">
        <v>26</v>
      </c>
      <c r="F1118">
        <v>7422</v>
      </c>
      <c r="G1118">
        <v>5</v>
      </c>
      <c r="H1118" t="s">
        <v>33</v>
      </c>
      <c r="I1118" t="s">
        <v>31</v>
      </c>
      <c r="J1118">
        <v>1</v>
      </c>
      <c r="K1118">
        <v>2</v>
      </c>
      <c r="L1118" t="s">
        <v>27</v>
      </c>
      <c r="M1118">
        <v>3</v>
      </c>
      <c r="N1118">
        <v>14</v>
      </c>
      <c r="O1118">
        <v>0</v>
      </c>
      <c r="P1118">
        <v>1</v>
      </c>
      <c r="Q1118" t="s">
        <v>27</v>
      </c>
    </row>
    <row r="1119" spans="1:17" x14ac:dyDescent="0.3">
      <c r="A1119" t="s">
        <v>1164</v>
      </c>
      <c r="B1119">
        <v>27</v>
      </c>
      <c r="C1119" t="s">
        <v>18</v>
      </c>
      <c r="D1119" t="s">
        <v>19</v>
      </c>
      <c r="E1119" t="s">
        <v>36</v>
      </c>
      <c r="F1119">
        <v>7191</v>
      </c>
      <c r="G1119">
        <v>3</v>
      </c>
      <c r="H1119" t="s">
        <v>37</v>
      </c>
      <c r="I1119" t="s">
        <v>31</v>
      </c>
      <c r="J1119">
        <v>3</v>
      </c>
      <c r="K1119">
        <v>1</v>
      </c>
      <c r="L1119" t="s">
        <v>27</v>
      </c>
      <c r="M1119">
        <v>4</v>
      </c>
      <c r="N1119">
        <v>25</v>
      </c>
      <c r="O1119">
        <v>5</v>
      </c>
      <c r="P1119">
        <v>3</v>
      </c>
      <c r="Q1119" t="s">
        <v>27</v>
      </c>
    </row>
    <row r="1120" spans="1:17" x14ac:dyDescent="0.3">
      <c r="A1120" t="s">
        <v>1165</v>
      </c>
      <c r="B1120">
        <v>32</v>
      </c>
      <c r="C1120" t="s">
        <v>35</v>
      </c>
      <c r="D1120" t="s">
        <v>74</v>
      </c>
      <c r="E1120" t="s">
        <v>20</v>
      </c>
      <c r="F1120">
        <v>13421</v>
      </c>
      <c r="G1120">
        <v>7</v>
      </c>
      <c r="H1120" t="s">
        <v>37</v>
      </c>
      <c r="I1120" t="s">
        <v>22</v>
      </c>
      <c r="J1120">
        <v>3</v>
      </c>
      <c r="K1120">
        <v>4</v>
      </c>
      <c r="L1120" t="s">
        <v>27</v>
      </c>
      <c r="M1120">
        <v>2</v>
      </c>
      <c r="N1120">
        <v>28</v>
      </c>
      <c r="O1120">
        <v>2</v>
      </c>
      <c r="P1120">
        <v>3</v>
      </c>
      <c r="Q1120" t="s">
        <v>27</v>
      </c>
    </row>
    <row r="1121" spans="1:17" x14ac:dyDescent="0.3">
      <c r="A1121" t="s">
        <v>1166</v>
      </c>
      <c r="B1121">
        <v>36</v>
      </c>
      <c r="C1121" t="s">
        <v>18</v>
      </c>
      <c r="D1121" t="s">
        <v>25</v>
      </c>
      <c r="E1121" t="s">
        <v>61</v>
      </c>
      <c r="F1121">
        <v>4451</v>
      </c>
      <c r="G1121">
        <v>1</v>
      </c>
      <c r="H1121" t="s">
        <v>21</v>
      </c>
      <c r="I1121" t="s">
        <v>31</v>
      </c>
      <c r="J1121">
        <v>3</v>
      </c>
      <c r="K1121">
        <v>1</v>
      </c>
      <c r="L1121" t="s">
        <v>27</v>
      </c>
      <c r="M1121">
        <v>4</v>
      </c>
      <c r="N1121">
        <v>24</v>
      </c>
      <c r="O1121">
        <v>4</v>
      </c>
      <c r="P1121">
        <v>4</v>
      </c>
      <c r="Q1121" t="s">
        <v>27</v>
      </c>
    </row>
    <row r="1122" spans="1:17" x14ac:dyDescent="0.3">
      <c r="A1122" t="s">
        <v>1167</v>
      </c>
      <c r="B1122">
        <v>18</v>
      </c>
      <c r="C1122" t="s">
        <v>35</v>
      </c>
      <c r="D1122" t="s">
        <v>19</v>
      </c>
      <c r="E1122" t="s">
        <v>40</v>
      </c>
      <c r="F1122">
        <v>5958</v>
      </c>
      <c r="G1122">
        <v>0</v>
      </c>
      <c r="H1122" t="s">
        <v>46</v>
      </c>
      <c r="I1122" t="s">
        <v>31</v>
      </c>
      <c r="J1122">
        <v>1</v>
      </c>
      <c r="K1122">
        <v>3</v>
      </c>
      <c r="L1122" t="s">
        <v>23</v>
      </c>
      <c r="M1122">
        <v>2</v>
      </c>
      <c r="N1122">
        <v>29</v>
      </c>
      <c r="O1122">
        <v>2</v>
      </c>
      <c r="P1122">
        <v>4</v>
      </c>
      <c r="Q1122" t="s">
        <v>27</v>
      </c>
    </row>
    <row r="1123" spans="1:17" x14ac:dyDescent="0.3">
      <c r="A1123" t="s">
        <v>1168</v>
      </c>
      <c r="B1123">
        <v>32</v>
      </c>
      <c r="C1123" t="s">
        <v>18</v>
      </c>
      <c r="D1123" t="s">
        <v>29</v>
      </c>
      <c r="E1123" t="s">
        <v>20</v>
      </c>
      <c r="F1123">
        <v>11270</v>
      </c>
      <c r="G1123">
        <v>2</v>
      </c>
      <c r="H1123" t="s">
        <v>37</v>
      </c>
      <c r="I1123" t="s">
        <v>22</v>
      </c>
      <c r="J1123">
        <v>1</v>
      </c>
      <c r="K1123">
        <v>4</v>
      </c>
      <c r="L1123" t="s">
        <v>27</v>
      </c>
      <c r="M1123">
        <v>4</v>
      </c>
      <c r="N1123">
        <v>7</v>
      </c>
      <c r="O1123">
        <v>1</v>
      </c>
      <c r="P1123">
        <v>4</v>
      </c>
      <c r="Q1123" t="s">
        <v>27</v>
      </c>
    </row>
    <row r="1124" spans="1:17" x14ac:dyDescent="0.3">
      <c r="A1124" t="s">
        <v>1169</v>
      </c>
      <c r="B1124">
        <v>37</v>
      </c>
      <c r="C1124" t="s">
        <v>18</v>
      </c>
      <c r="D1124" t="s">
        <v>74</v>
      </c>
      <c r="E1124" t="s">
        <v>20</v>
      </c>
      <c r="F1124">
        <v>14273</v>
      </c>
      <c r="G1124">
        <v>12</v>
      </c>
      <c r="H1124" t="s">
        <v>46</v>
      </c>
      <c r="I1124" t="s">
        <v>56</v>
      </c>
      <c r="J1124">
        <v>3</v>
      </c>
      <c r="K1124">
        <v>4</v>
      </c>
      <c r="L1124" t="s">
        <v>23</v>
      </c>
      <c r="M1124">
        <v>3</v>
      </c>
      <c r="N1124">
        <v>10</v>
      </c>
      <c r="O1124">
        <v>4</v>
      </c>
      <c r="P1124">
        <v>1</v>
      </c>
      <c r="Q1124" t="s">
        <v>27</v>
      </c>
    </row>
    <row r="1125" spans="1:17" x14ac:dyDescent="0.3">
      <c r="A1125" t="s">
        <v>1170</v>
      </c>
      <c r="B1125">
        <v>38</v>
      </c>
      <c r="C1125" t="s">
        <v>35</v>
      </c>
      <c r="D1125" t="s">
        <v>29</v>
      </c>
      <c r="E1125" t="s">
        <v>49</v>
      </c>
      <c r="F1125">
        <v>6016</v>
      </c>
      <c r="G1125">
        <v>1</v>
      </c>
      <c r="H1125" t="s">
        <v>21</v>
      </c>
      <c r="I1125" t="s">
        <v>56</v>
      </c>
      <c r="J1125">
        <v>1</v>
      </c>
      <c r="K1125">
        <v>3</v>
      </c>
      <c r="L1125" t="s">
        <v>23</v>
      </c>
      <c r="M1125">
        <v>1</v>
      </c>
      <c r="N1125">
        <v>6</v>
      </c>
      <c r="O1125">
        <v>4</v>
      </c>
      <c r="P1125">
        <v>3</v>
      </c>
      <c r="Q1125" t="s">
        <v>27</v>
      </c>
    </row>
    <row r="1126" spans="1:17" x14ac:dyDescent="0.3">
      <c r="A1126" t="s">
        <v>1171</v>
      </c>
      <c r="B1126">
        <v>38</v>
      </c>
      <c r="C1126" t="s">
        <v>18</v>
      </c>
      <c r="D1126" t="s">
        <v>74</v>
      </c>
      <c r="E1126" t="s">
        <v>75</v>
      </c>
      <c r="F1126">
        <v>10833</v>
      </c>
      <c r="G1126">
        <v>5</v>
      </c>
      <c r="H1126" t="s">
        <v>21</v>
      </c>
      <c r="I1126" t="s">
        <v>31</v>
      </c>
      <c r="J1126">
        <v>2</v>
      </c>
      <c r="K1126">
        <v>4</v>
      </c>
      <c r="L1126" t="s">
        <v>27</v>
      </c>
      <c r="M1126">
        <v>3</v>
      </c>
      <c r="N1126">
        <v>25</v>
      </c>
      <c r="O1126">
        <v>3</v>
      </c>
      <c r="P1126">
        <v>1</v>
      </c>
      <c r="Q1126" t="s">
        <v>27</v>
      </c>
    </row>
    <row r="1127" spans="1:17" x14ac:dyDescent="0.3">
      <c r="A1127" t="s">
        <v>1172</v>
      </c>
      <c r="B1127">
        <v>39</v>
      </c>
      <c r="C1127" t="s">
        <v>35</v>
      </c>
      <c r="D1127" t="s">
        <v>19</v>
      </c>
      <c r="E1127" t="s">
        <v>40</v>
      </c>
      <c r="F1127">
        <v>7046</v>
      </c>
      <c r="G1127">
        <v>4</v>
      </c>
      <c r="H1127" t="s">
        <v>37</v>
      </c>
      <c r="I1127" t="s">
        <v>31</v>
      </c>
      <c r="J1127">
        <v>2</v>
      </c>
      <c r="K1127">
        <v>3</v>
      </c>
      <c r="L1127" t="s">
        <v>27</v>
      </c>
      <c r="M1127">
        <v>2</v>
      </c>
      <c r="N1127">
        <v>21</v>
      </c>
      <c r="O1127">
        <v>1</v>
      </c>
      <c r="P1127">
        <v>2</v>
      </c>
      <c r="Q1127" t="s">
        <v>27</v>
      </c>
    </row>
    <row r="1128" spans="1:17" x14ac:dyDescent="0.3">
      <c r="A1128" t="s">
        <v>1173</v>
      </c>
      <c r="B1128">
        <v>30</v>
      </c>
      <c r="C1128" t="s">
        <v>18</v>
      </c>
      <c r="D1128" t="s">
        <v>25</v>
      </c>
      <c r="E1128" t="s">
        <v>61</v>
      </c>
      <c r="F1128">
        <v>7424</v>
      </c>
      <c r="G1128">
        <v>12</v>
      </c>
      <c r="H1128" t="s">
        <v>21</v>
      </c>
      <c r="I1128" t="s">
        <v>22</v>
      </c>
      <c r="J1128">
        <v>4</v>
      </c>
      <c r="K1128">
        <v>1</v>
      </c>
      <c r="L1128" t="s">
        <v>27</v>
      </c>
      <c r="M1128">
        <v>3</v>
      </c>
      <c r="N1128">
        <v>1</v>
      </c>
      <c r="O1128">
        <v>2</v>
      </c>
      <c r="P1128">
        <v>2</v>
      </c>
      <c r="Q1128" t="s">
        <v>27</v>
      </c>
    </row>
    <row r="1129" spans="1:17" x14ac:dyDescent="0.3">
      <c r="A1129" t="s">
        <v>1174</v>
      </c>
      <c r="B1129">
        <v>29</v>
      </c>
      <c r="C1129" t="s">
        <v>18</v>
      </c>
      <c r="D1129" t="s">
        <v>44</v>
      </c>
      <c r="E1129" t="s">
        <v>45</v>
      </c>
      <c r="F1129">
        <v>10418</v>
      </c>
      <c r="G1129">
        <v>5</v>
      </c>
      <c r="H1129" t="s">
        <v>37</v>
      </c>
      <c r="I1129" t="s">
        <v>22</v>
      </c>
      <c r="J1129">
        <v>1</v>
      </c>
      <c r="K1129">
        <v>1</v>
      </c>
      <c r="L1129" t="s">
        <v>27</v>
      </c>
      <c r="M1129">
        <v>2</v>
      </c>
      <c r="N1129">
        <v>4</v>
      </c>
      <c r="O1129">
        <v>4</v>
      </c>
      <c r="P1129">
        <v>4</v>
      </c>
      <c r="Q1129" t="s">
        <v>27</v>
      </c>
    </row>
    <row r="1130" spans="1:17" x14ac:dyDescent="0.3">
      <c r="A1130" t="s">
        <v>1175</v>
      </c>
      <c r="B1130">
        <v>19</v>
      </c>
      <c r="C1130" t="s">
        <v>18</v>
      </c>
      <c r="D1130" t="s">
        <v>29</v>
      </c>
      <c r="E1130" t="s">
        <v>49</v>
      </c>
      <c r="F1130">
        <v>7487</v>
      </c>
      <c r="G1130">
        <v>1</v>
      </c>
      <c r="H1130" t="s">
        <v>37</v>
      </c>
      <c r="I1130" t="s">
        <v>22</v>
      </c>
      <c r="J1130">
        <v>4</v>
      </c>
      <c r="K1130">
        <v>3</v>
      </c>
      <c r="L1130" t="s">
        <v>23</v>
      </c>
      <c r="M1130">
        <v>3</v>
      </c>
      <c r="N1130">
        <v>11</v>
      </c>
      <c r="O1130">
        <v>0</v>
      </c>
      <c r="P1130">
        <v>4</v>
      </c>
      <c r="Q1130" t="s">
        <v>27</v>
      </c>
    </row>
    <row r="1131" spans="1:17" x14ac:dyDescent="0.3">
      <c r="A1131" t="s">
        <v>1176</v>
      </c>
      <c r="B1131">
        <v>34</v>
      </c>
      <c r="C1131" t="s">
        <v>18</v>
      </c>
      <c r="D1131" t="s">
        <v>44</v>
      </c>
      <c r="E1131" t="s">
        <v>20</v>
      </c>
      <c r="F1131">
        <v>11218</v>
      </c>
      <c r="G1131">
        <v>2</v>
      </c>
      <c r="H1131" t="s">
        <v>37</v>
      </c>
      <c r="I1131" t="s">
        <v>31</v>
      </c>
      <c r="J1131">
        <v>2</v>
      </c>
      <c r="K1131">
        <v>3</v>
      </c>
      <c r="L1131" t="s">
        <v>27</v>
      </c>
      <c r="M1131">
        <v>3</v>
      </c>
      <c r="N1131">
        <v>21</v>
      </c>
      <c r="O1131">
        <v>0</v>
      </c>
      <c r="P1131">
        <v>3</v>
      </c>
      <c r="Q1131" t="s">
        <v>27</v>
      </c>
    </row>
    <row r="1132" spans="1:17" x14ac:dyDescent="0.3">
      <c r="A1132" t="s">
        <v>1177</v>
      </c>
      <c r="B1132">
        <v>23</v>
      </c>
      <c r="C1132" t="s">
        <v>18</v>
      </c>
      <c r="D1132" t="s">
        <v>25</v>
      </c>
      <c r="E1132" t="s">
        <v>26</v>
      </c>
      <c r="F1132">
        <v>5207</v>
      </c>
      <c r="G1132">
        <v>2</v>
      </c>
      <c r="H1132" t="s">
        <v>37</v>
      </c>
      <c r="I1132" t="s">
        <v>31</v>
      </c>
      <c r="J1132">
        <v>3</v>
      </c>
      <c r="K1132">
        <v>3</v>
      </c>
      <c r="L1132" t="s">
        <v>23</v>
      </c>
      <c r="M1132">
        <v>2</v>
      </c>
      <c r="N1132">
        <v>21</v>
      </c>
      <c r="O1132">
        <v>6</v>
      </c>
      <c r="P1132">
        <v>3</v>
      </c>
      <c r="Q1132" t="s">
        <v>27</v>
      </c>
    </row>
    <row r="1133" spans="1:17" x14ac:dyDescent="0.3">
      <c r="A1133" t="s">
        <v>1178</v>
      </c>
      <c r="B1133">
        <v>39</v>
      </c>
      <c r="C1133" t="s">
        <v>35</v>
      </c>
      <c r="D1133" t="s">
        <v>25</v>
      </c>
      <c r="E1133" t="s">
        <v>26</v>
      </c>
      <c r="F1133">
        <v>7810</v>
      </c>
      <c r="G1133">
        <v>2</v>
      </c>
      <c r="H1133" t="s">
        <v>46</v>
      </c>
      <c r="I1133" t="s">
        <v>22</v>
      </c>
      <c r="J1133">
        <v>2</v>
      </c>
      <c r="K1133">
        <v>2</v>
      </c>
      <c r="L1133" t="s">
        <v>27</v>
      </c>
      <c r="M1133">
        <v>4</v>
      </c>
      <c r="N1133">
        <v>10</v>
      </c>
      <c r="O1133">
        <v>0</v>
      </c>
      <c r="P1133">
        <v>2</v>
      </c>
      <c r="Q1133" t="s">
        <v>27</v>
      </c>
    </row>
    <row r="1134" spans="1:17" x14ac:dyDescent="0.3">
      <c r="A1134" t="s">
        <v>1179</v>
      </c>
      <c r="B1134">
        <v>33</v>
      </c>
      <c r="C1134" t="s">
        <v>35</v>
      </c>
      <c r="D1134" t="s">
        <v>25</v>
      </c>
      <c r="E1134" t="s">
        <v>61</v>
      </c>
      <c r="F1134">
        <v>7379</v>
      </c>
      <c r="G1134">
        <v>2</v>
      </c>
      <c r="H1134" t="s">
        <v>21</v>
      </c>
      <c r="I1134" t="s">
        <v>31</v>
      </c>
      <c r="J1134">
        <v>1</v>
      </c>
      <c r="K1134">
        <v>3</v>
      </c>
      <c r="L1134" t="s">
        <v>27</v>
      </c>
      <c r="M1134">
        <v>3</v>
      </c>
      <c r="N1134">
        <v>15</v>
      </c>
      <c r="O1134">
        <v>4</v>
      </c>
      <c r="P1134">
        <v>3</v>
      </c>
      <c r="Q1134" t="s">
        <v>27</v>
      </c>
    </row>
    <row r="1135" spans="1:17" x14ac:dyDescent="0.3">
      <c r="A1135" t="s">
        <v>1180</v>
      </c>
      <c r="B1135">
        <v>31</v>
      </c>
      <c r="C1135" t="s">
        <v>18</v>
      </c>
      <c r="D1135" t="s">
        <v>74</v>
      </c>
      <c r="E1135" t="s">
        <v>75</v>
      </c>
      <c r="F1135">
        <v>7794</v>
      </c>
      <c r="G1135">
        <v>0</v>
      </c>
      <c r="H1135" t="s">
        <v>21</v>
      </c>
      <c r="I1135" t="s">
        <v>22</v>
      </c>
      <c r="J1135">
        <v>4</v>
      </c>
      <c r="K1135">
        <v>1</v>
      </c>
      <c r="L1135" t="s">
        <v>27</v>
      </c>
      <c r="M1135">
        <v>3</v>
      </c>
      <c r="N1135">
        <v>27</v>
      </c>
      <c r="O1135">
        <v>4</v>
      </c>
      <c r="P1135">
        <v>4</v>
      </c>
      <c r="Q1135" t="s">
        <v>23</v>
      </c>
    </row>
    <row r="1136" spans="1:17" x14ac:dyDescent="0.3">
      <c r="A1136" t="s">
        <v>1181</v>
      </c>
      <c r="B1136">
        <v>18</v>
      </c>
      <c r="C1136" t="s">
        <v>35</v>
      </c>
      <c r="D1136" t="s">
        <v>74</v>
      </c>
      <c r="E1136" t="s">
        <v>75</v>
      </c>
      <c r="F1136">
        <v>4646</v>
      </c>
      <c r="G1136">
        <v>0</v>
      </c>
      <c r="H1136" t="s">
        <v>33</v>
      </c>
      <c r="I1136" t="s">
        <v>22</v>
      </c>
      <c r="J1136">
        <v>1</v>
      </c>
      <c r="K1136">
        <v>3</v>
      </c>
      <c r="L1136" t="s">
        <v>27</v>
      </c>
      <c r="M1136">
        <v>3</v>
      </c>
      <c r="N1136">
        <v>1</v>
      </c>
      <c r="O1136">
        <v>1</v>
      </c>
      <c r="P1136">
        <v>3</v>
      </c>
      <c r="Q1136" t="s">
        <v>27</v>
      </c>
    </row>
    <row r="1137" spans="1:17" x14ac:dyDescent="0.3">
      <c r="A1137" t="s">
        <v>1182</v>
      </c>
      <c r="B1137">
        <v>24</v>
      </c>
      <c r="C1137" t="s">
        <v>18</v>
      </c>
      <c r="D1137" t="s">
        <v>74</v>
      </c>
      <c r="E1137" t="s">
        <v>75</v>
      </c>
      <c r="F1137">
        <v>7204</v>
      </c>
      <c r="G1137">
        <v>6</v>
      </c>
      <c r="H1137" t="s">
        <v>37</v>
      </c>
      <c r="I1137" t="s">
        <v>22</v>
      </c>
      <c r="J1137">
        <v>1</v>
      </c>
      <c r="K1137">
        <v>2</v>
      </c>
      <c r="L1137" t="s">
        <v>27</v>
      </c>
      <c r="M1137">
        <v>3</v>
      </c>
      <c r="N1137">
        <v>8</v>
      </c>
      <c r="O1137">
        <v>2</v>
      </c>
      <c r="P1137">
        <v>3</v>
      </c>
      <c r="Q1137" t="s">
        <v>27</v>
      </c>
    </row>
    <row r="1138" spans="1:17" x14ac:dyDescent="0.3">
      <c r="A1138" t="s">
        <v>1183</v>
      </c>
      <c r="B1138">
        <v>26</v>
      </c>
      <c r="C1138" t="s">
        <v>35</v>
      </c>
      <c r="D1138" t="s">
        <v>19</v>
      </c>
      <c r="E1138" t="s">
        <v>36</v>
      </c>
      <c r="F1138">
        <v>10253</v>
      </c>
      <c r="G1138">
        <v>0</v>
      </c>
      <c r="H1138" t="s">
        <v>46</v>
      </c>
      <c r="I1138" t="s">
        <v>56</v>
      </c>
      <c r="J1138">
        <v>4</v>
      </c>
      <c r="K1138">
        <v>2</v>
      </c>
      <c r="L1138" t="s">
        <v>23</v>
      </c>
      <c r="M1138">
        <v>2</v>
      </c>
      <c r="N1138">
        <v>4</v>
      </c>
      <c r="O1138">
        <v>3</v>
      </c>
      <c r="P1138">
        <v>2</v>
      </c>
      <c r="Q1138" t="s">
        <v>27</v>
      </c>
    </row>
    <row r="1139" spans="1:17" x14ac:dyDescent="0.3">
      <c r="A1139" t="s">
        <v>1184</v>
      </c>
      <c r="B1139">
        <v>21</v>
      </c>
      <c r="C1139" t="s">
        <v>18</v>
      </c>
      <c r="D1139" t="s">
        <v>25</v>
      </c>
      <c r="E1139" t="s">
        <v>20</v>
      </c>
      <c r="F1139">
        <v>10024</v>
      </c>
      <c r="G1139">
        <v>3</v>
      </c>
      <c r="H1139" t="s">
        <v>21</v>
      </c>
      <c r="I1139" t="s">
        <v>22</v>
      </c>
      <c r="J1139">
        <v>3</v>
      </c>
      <c r="K1139">
        <v>4</v>
      </c>
      <c r="L1139" t="s">
        <v>27</v>
      </c>
      <c r="M1139">
        <v>3</v>
      </c>
      <c r="N1139">
        <v>14</v>
      </c>
      <c r="O1139">
        <v>5</v>
      </c>
      <c r="P1139">
        <v>2</v>
      </c>
      <c r="Q1139" t="s">
        <v>27</v>
      </c>
    </row>
    <row r="1140" spans="1:17" x14ac:dyDescent="0.3">
      <c r="A1140" t="s">
        <v>1185</v>
      </c>
      <c r="B1140">
        <v>56</v>
      </c>
      <c r="C1140" t="s">
        <v>18</v>
      </c>
      <c r="D1140" t="s">
        <v>19</v>
      </c>
      <c r="E1140" t="s">
        <v>20</v>
      </c>
      <c r="F1140">
        <v>10511</v>
      </c>
      <c r="G1140">
        <v>0</v>
      </c>
      <c r="H1140" t="s">
        <v>21</v>
      </c>
      <c r="I1140" t="s">
        <v>22</v>
      </c>
      <c r="J1140">
        <v>3</v>
      </c>
      <c r="K1140">
        <v>3</v>
      </c>
      <c r="L1140" t="s">
        <v>23</v>
      </c>
      <c r="M1140">
        <v>2</v>
      </c>
      <c r="N1140">
        <v>10</v>
      </c>
      <c r="O1140">
        <v>4</v>
      </c>
      <c r="P1140">
        <v>4</v>
      </c>
      <c r="Q1140" t="s">
        <v>27</v>
      </c>
    </row>
    <row r="1141" spans="1:17" x14ac:dyDescent="0.3">
      <c r="A1141" t="s">
        <v>1186</v>
      </c>
      <c r="B1141">
        <v>40</v>
      </c>
      <c r="C1141" t="s">
        <v>18</v>
      </c>
      <c r="D1141" t="s">
        <v>19</v>
      </c>
      <c r="E1141" t="s">
        <v>36</v>
      </c>
      <c r="F1141">
        <v>8788</v>
      </c>
      <c r="G1141">
        <v>4</v>
      </c>
      <c r="H1141" t="s">
        <v>37</v>
      </c>
      <c r="I1141" t="s">
        <v>22</v>
      </c>
      <c r="J1141">
        <v>1</v>
      </c>
      <c r="K1141">
        <v>4</v>
      </c>
      <c r="L1141" t="s">
        <v>27</v>
      </c>
      <c r="M1141">
        <v>1</v>
      </c>
      <c r="N1141">
        <v>10</v>
      </c>
      <c r="O1141">
        <v>1</v>
      </c>
      <c r="P1141">
        <v>2</v>
      </c>
      <c r="Q1141" t="s">
        <v>27</v>
      </c>
    </row>
    <row r="1142" spans="1:17" x14ac:dyDescent="0.3">
      <c r="A1142" t="s">
        <v>1187</v>
      </c>
      <c r="B1142">
        <v>23</v>
      </c>
      <c r="C1142" t="s">
        <v>18</v>
      </c>
      <c r="D1142" t="s">
        <v>74</v>
      </c>
      <c r="E1142" t="s">
        <v>75</v>
      </c>
      <c r="F1142">
        <v>9166</v>
      </c>
      <c r="G1142">
        <v>4</v>
      </c>
      <c r="H1142" t="s">
        <v>21</v>
      </c>
      <c r="I1142" t="s">
        <v>31</v>
      </c>
      <c r="J1142">
        <v>1</v>
      </c>
      <c r="K1142">
        <v>2</v>
      </c>
      <c r="L1142" t="s">
        <v>27</v>
      </c>
      <c r="M1142">
        <v>3</v>
      </c>
      <c r="N1142">
        <v>9</v>
      </c>
      <c r="O1142">
        <v>3</v>
      </c>
      <c r="P1142">
        <v>4</v>
      </c>
      <c r="Q1142" t="s">
        <v>27</v>
      </c>
    </row>
    <row r="1143" spans="1:17" x14ac:dyDescent="0.3">
      <c r="A1143" t="s">
        <v>1188</v>
      </c>
      <c r="B1143">
        <v>20</v>
      </c>
      <c r="C1143" t="s">
        <v>35</v>
      </c>
      <c r="D1143" t="s">
        <v>25</v>
      </c>
      <c r="E1143" t="s">
        <v>61</v>
      </c>
      <c r="F1143">
        <v>4811</v>
      </c>
      <c r="G1143">
        <v>2</v>
      </c>
      <c r="H1143" t="s">
        <v>33</v>
      </c>
      <c r="I1143" t="s">
        <v>31</v>
      </c>
      <c r="J1143">
        <v>3</v>
      </c>
      <c r="K1143">
        <v>1</v>
      </c>
      <c r="L1143" t="s">
        <v>23</v>
      </c>
      <c r="M1143">
        <v>1</v>
      </c>
      <c r="N1143">
        <v>17</v>
      </c>
      <c r="O1143">
        <v>6</v>
      </c>
      <c r="P1143">
        <v>1</v>
      </c>
      <c r="Q1143" t="s">
        <v>23</v>
      </c>
    </row>
    <row r="1144" spans="1:17" x14ac:dyDescent="0.3">
      <c r="A1144" t="s">
        <v>1189</v>
      </c>
      <c r="B1144">
        <v>30</v>
      </c>
      <c r="C1144" t="s">
        <v>18</v>
      </c>
      <c r="D1144" t="s">
        <v>74</v>
      </c>
      <c r="E1144" t="s">
        <v>99</v>
      </c>
      <c r="F1144">
        <v>2748</v>
      </c>
      <c r="G1144">
        <v>1</v>
      </c>
      <c r="H1144" t="s">
        <v>46</v>
      </c>
      <c r="I1144" t="s">
        <v>22</v>
      </c>
      <c r="J1144">
        <v>4</v>
      </c>
      <c r="K1144">
        <v>4</v>
      </c>
      <c r="L1144" t="s">
        <v>27</v>
      </c>
      <c r="M1144">
        <v>4</v>
      </c>
      <c r="N1144">
        <v>9</v>
      </c>
      <c r="O1144">
        <v>3</v>
      </c>
      <c r="P1144">
        <v>3</v>
      </c>
      <c r="Q1144" t="s">
        <v>27</v>
      </c>
    </row>
    <row r="1145" spans="1:17" x14ac:dyDescent="0.3">
      <c r="A1145" t="s">
        <v>1190</v>
      </c>
      <c r="B1145">
        <v>42</v>
      </c>
      <c r="C1145" t="s">
        <v>35</v>
      </c>
      <c r="D1145" t="s">
        <v>19</v>
      </c>
      <c r="E1145" t="s">
        <v>36</v>
      </c>
      <c r="F1145">
        <v>7142</v>
      </c>
      <c r="G1145">
        <v>3</v>
      </c>
      <c r="H1145" t="s">
        <v>21</v>
      </c>
      <c r="I1145" t="s">
        <v>56</v>
      </c>
      <c r="J1145">
        <v>4</v>
      </c>
      <c r="K1145">
        <v>1</v>
      </c>
      <c r="L1145" t="s">
        <v>27</v>
      </c>
      <c r="M1145">
        <v>3</v>
      </c>
      <c r="N1145">
        <v>19</v>
      </c>
      <c r="O1145">
        <v>3</v>
      </c>
      <c r="P1145">
        <v>2</v>
      </c>
      <c r="Q1145" t="s">
        <v>27</v>
      </c>
    </row>
    <row r="1146" spans="1:17" x14ac:dyDescent="0.3">
      <c r="A1146" t="s">
        <v>1191</v>
      </c>
      <c r="B1146">
        <v>31</v>
      </c>
      <c r="C1146" t="s">
        <v>35</v>
      </c>
      <c r="D1146" t="s">
        <v>25</v>
      </c>
      <c r="E1146" t="s">
        <v>26</v>
      </c>
      <c r="F1146">
        <v>9707</v>
      </c>
      <c r="G1146">
        <v>5</v>
      </c>
      <c r="H1146" t="s">
        <v>21</v>
      </c>
      <c r="I1146" t="s">
        <v>31</v>
      </c>
      <c r="J1146">
        <v>2</v>
      </c>
      <c r="K1146">
        <v>4</v>
      </c>
      <c r="L1146" t="s">
        <v>27</v>
      </c>
      <c r="M1146">
        <v>3</v>
      </c>
      <c r="N1146">
        <v>29</v>
      </c>
      <c r="O1146">
        <v>5</v>
      </c>
      <c r="P1146">
        <v>2</v>
      </c>
      <c r="Q1146" t="s">
        <v>27</v>
      </c>
    </row>
    <row r="1147" spans="1:17" x14ac:dyDescent="0.3">
      <c r="A1147" t="s">
        <v>1192</v>
      </c>
      <c r="B1147">
        <v>18</v>
      </c>
      <c r="C1147" t="s">
        <v>35</v>
      </c>
      <c r="D1147" t="s">
        <v>70</v>
      </c>
      <c r="E1147" t="s">
        <v>71</v>
      </c>
      <c r="F1147">
        <v>6339</v>
      </c>
      <c r="G1147">
        <v>0</v>
      </c>
      <c r="H1147" t="s">
        <v>21</v>
      </c>
      <c r="I1147" t="s">
        <v>31</v>
      </c>
      <c r="J1147">
        <v>1</v>
      </c>
      <c r="K1147">
        <v>2</v>
      </c>
      <c r="L1147" t="s">
        <v>27</v>
      </c>
      <c r="M1147">
        <v>3</v>
      </c>
      <c r="N1147">
        <v>29</v>
      </c>
      <c r="O1147">
        <v>0</v>
      </c>
      <c r="P1147">
        <v>4</v>
      </c>
      <c r="Q1147" t="s">
        <v>27</v>
      </c>
    </row>
    <row r="1148" spans="1:17" x14ac:dyDescent="0.3">
      <c r="A1148" t="s">
        <v>1193</v>
      </c>
      <c r="B1148">
        <v>28</v>
      </c>
      <c r="C1148" t="s">
        <v>18</v>
      </c>
      <c r="D1148" t="s">
        <v>25</v>
      </c>
      <c r="E1148" t="s">
        <v>61</v>
      </c>
      <c r="F1148">
        <v>5410</v>
      </c>
      <c r="G1148">
        <v>1</v>
      </c>
      <c r="H1148" t="s">
        <v>21</v>
      </c>
      <c r="I1148" t="s">
        <v>22</v>
      </c>
      <c r="J1148">
        <v>4</v>
      </c>
      <c r="K1148">
        <v>3</v>
      </c>
      <c r="L1148" t="s">
        <v>27</v>
      </c>
      <c r="M1148">
        <v>2</v>
      </c>
      <c r="N1148">
        <v>29</v>
      </c>
      <c r="O1148">
        <v>5</v>
      </c>
      <c r="P1148">
        <v>4</v>
      </c>
      <c r="Q1148" t="s">
        <v>23</v>
      </c>
    </row>
    <row r="1149" spans="1:17" x14ac:dyDescent="0.3">
      <c r="A1149" t="s">
        <v>1194</v>
      </c>
      <c r="B1149">
        <v>50</v>
      </c>
      <c r="C1149" t="s">
        <v>35</v>
      </c>
      <c r="D1149" t="s">
        <v>25</v>
      </c>
      <c r="E1149" t="s">
        <v>61</v>
      </c>
      <c r="F1149">
        <v>8802</v>
      </c>
      <c r="G1149">
        <v>7</v>
      </c>
      <c r="H1149" t="s">
        <v>37</v>
      </c>
      <c r="I1149" t="s">
        <v>22</v>
      </c>
      <c r="J1149">
        <v>3</v>
      </c>
      <c r="K1149">
        <v>2</v>
      </c>
      <c r="L1149" t="s">
        <v>27</v>
      </c>
      <c r="M1149">
        <v>3</v>
      </c>
      <c r="N1149">
        <v>5</v>
      </c>
      <c r="O1149">
        <v>1</v>
      </c>
      <c r="P1149">
        <v>1</v>
      </c>
      <c r="Q1149" t="s">
        <v>27</v>
      </c>
    </row>
    <row r="1150" spans="1:17" x14ac:dyDescent="0.3">
      <c r="A1150" t="s">
        <v>1195</v>
      </c>
      <c r="B1150">
        <v>34</v>
      </c>
      <c r="C1150" t="s">
        <v>18</v>
      </c>
      <c r="D1150" t="s">
        <v>19</v>
      </c>
      <c r="E1150" t="s">
        <v>40</v>
      </c>
      <c r="F1150">
        <v>7916</v>
      </c>
      <c r="G1150">
        <v>4</v>
      </c>
      <c r="H1150" t="s">
        <v>21</v>
      </c>
      <c r="I1150" t="s">
        <v>22</v>
      </c>
      <c r="J1150">
        <v>1</v>
      </c>
      <c r="K1150">
        <v>3</v>
      </c>
      <c r="L1150" t="s">
        <v>27</v>
      </c>
      <c r="M1150">
        <v>2</v>
      </c>
      <c r="N1150">
        <v>16</v>
      </c>
      <c r="O1150">
        <v>2</v>
      </c>
      <c r="P1150">
        <v>4</v>
      </c>
      <c r="Q1150" t="s">
        <v>27</v>
      </c>
    </row>
    <row r="1151" spans="1:17" x14ac:dyDescent="0.3">
      <c r="A1151" t="s">
        <v>1196</v>
      </c>
      <c r="B1151">
        <v>44</v>
      </c>
      <c r="C1151" t="s">
        <v>35</v>
      </c>
      <c r="D1151" t="s">
        <v>19</v>
      </c>
      <c r="E1151" t="s">
        <v>20</v>
      </c>
      <c r="F1151">
        <v>12178</v>
      </c>
      <c r="G1151">
        <v>1</v>
      </c>
      <c r="H1151" t="s">
        <v>21</v>
      </c>
      <c r="I1151" t="s">
        <v>22</v>
      </c>
      <c r="J1151">
        <v>4</v>
      </c>
      <c r="K1151">
        <v>4</v>
      </c>
      <c r="L1151" t="s">
        <v>27</v>
      </c>
      <c r="M1151">
        <v>3</v>
      </c>
      <c r="N1151">
        <v>25</v>
      </c>
      <c r="O1151">
        <v>2</v>
      </c>
      <c r="P1151">
        <v>3</v>
      </c>
      <c r="Q1151" t="s">
        <v>27</v>
      </c>
    </row>
    <row r="1152" spans="1:17" x14ac:dyDescent="0.3">
      <c r="A1152" t="s">
        <v>1197</v>
      </c>
      <c r="B1152">
        <v>37</v>
      </c>
      <c r="C1152" t="s">
        <v>35</v>
      </c>
      <c r="D1152" t="s">
        <v>19</v>
      </c>
      <c r="E1152" t="s">
        <v>20</v>
      </c>
      <c r="F1152">
        <v>10320</v>
      </c>
      <c r="G1152">
        <v>6</v>
      </c>
      <c r="H1152" t="s">
        <v>37</v>
      </c>
      <c r="I1152" t="s">
        <v>22</v>
      </c>
      <c r="J1152">
        <v>2</v>
      </c>
      <c r="K1152">
        <v>2</v>
      </c>
      <c r="L1152" t="s">
        <v>27</v>
      </c>
      <c r="M1152">
        <v>3</v>
      </c>
      <c r="N1152">
        <v>4</v>
      </c>
      <c r="O1152">
        <v>1</v>
      </c>
      <c r="P1152">
        <v>2</v>
      </c>
      <c r="Q1152" t="s">
        <v>27</v>
      </c>
    </row>
    <row r="1153" spans="1:17" x14ac:dyDescent="0.3">
      <c r="A1153" t="s">
        <v>1198</v>
      </c>
      <c r="B1153">
        <v>24</v>
      </c>
      <c r="C1153" t="s">
        <v>35</v>
      </c>
      <c r="D1153" t="s">
        <v>70</v>
      </c>
      <c r="E1153" t="s">
        <v>20</v>
      </c>
      <c r="F1153">
        <v>9325</v>
      </c>
      <c r="G1153">
        <v>6</v>
      </c>
      <c r="H1153" t="s">
        <v>21</v>
      </c>
      <c r="I1153" t="s">
        <v>31</v>
      </c>
      <c r="J1153">
        <v>1</v>
      </c>
      <c r="K1153">
        <v>1</v>
      </c>
      <c r="L1153" t="s">
        <v>27</v>
      </c>
      <c r="M1153">
        <v>1</v>
      </c>
      <c r="N1153">
        <v>4</v>
      </c>
      <c r="O1153">
        <v>3</v>
      </c>
      <c r="P1153">
        <v>2</v>
      </c>
      <c r="Q1153" t="s">
        <v>27</v>
      </c>
    </row>
    <row r="1154" spans="1:17" x14ac:dyDescent="0.3">
      <c r="A1154" t="s">
        <v>1199</v>
      </c>
      <c r="B1154">
        <v>26</v>
      </c>
      <c r="C1154" t="s">
        <v>35</v>
      </c>
      <c r="D1154" t="s">
        <v>19</v>
      </c>
      <c r="E1154" t="s">
        <v>20</v>
      </c>
      <c r="F1154">
        <v>13094</v>
      </c>
      <c r="G1154">
        <v>8</v>
      </c>
      <c r="H1154" t="s">
        <v>21</v>
      </c>
      <c r="I1154" t="s">
        <v>22</v>
      </c>
      <c r="J1154">
        <v>3</v>
      </c>
      <c r="K1154">
        <v>1</v>
      </c>
      <c r="L1154" t="s">
        <v>27</v>
      </c>
      <c r="M1154">
        <v>2</v>
      </c>
      <c r="N1154">
        <v>12</v>
      </c>
      <c r="O1154">
        <v>0</v>
      </c>
      <c r="P1154">
        <v>3</v>
      </c>
      <c r="Q1154" t="s">
        <v>23</v>
      </c>
    </row>
    <row r="1155" spans="1:17" x14ac:dyDescent="0.3">
      <c r="A1155" t="s">
        <v>1200</v>
      </c>
      <c r="B1155">
        <v>35</v>
      </c>
      <c r="C1155" t="s">
        <v>18</v>
      </c>
      <c r="D1155" t="s">
        <v>74</v>
      </c>
      <c r="E1155" t="s">
        <v>75</v>
      </c>
      <c r="F1155">
        <v>6868</v>
      </c>
      <c r="G1155">
        <v>1</v>
      </c>
      <c r="H1155" t="s">
        <v>37</v>
      </c>
      <c r="I1155" t="s">
        <v>22</v>
      </c>
      <c r="J1155">
        <v>2</v>
      </c>
      <c r="K1155">
        <v>4</v>
      </c>
      <c r="L1155" t="s">
        <v>27</v>
      </c>
      <c r="M1155">
        <v>2</v>
      </c>
      <c r="N1155">
        <v>8</v>
      </c>
      <c r="O1155">
        <v>1</v>
      </c>
      <c r="P1155">
        <v>1</v>
      </c>
      <c r="Q1155" t="s">
        <v>27</v>
      </c>
    </row>
    <row r="1156" spans="1:17" x14ac:dyDescent="0.3">
      <c r="A1156" t="s">
        <v>1201</v>
      </c>
      <c r="B1156">
        <v>32</v>
      </c>
      <c r="C1156" t="s">
        <v>18</v>
      </c>
      <c r="D1156" t="s">
        <v>70</v>
      </c>
      <c r="E1156" t="s">
        <v>71</v>
      </c>
      <c r="F1156">
        <v>8547</v>
      </c>
      <c r="G1156">
        <v>2</v>
      </c>
      <c r="H1156" t="s">
        <v>21</v>
      </c>
      <c r="I1156" t="s">
        <v>22</v>
      </c>
      <c r="J1156">
        <v>2</v>
      </c>
      <c r="K1156">
        <v>1</v>
      </c>
      <c r="L1156" t="s">
        <v>27</v>
      </c>
      <c r="M1156">
        <v>3</v>
      </c>
      <c r="N1156">
        <v>7</v>
      </c>
      <c r="O1156">
        <v>2</v>
      </c>
      <c r="P1156">
        <v>4</v>
      </c>
      <c r="Q1156" t="s">
        <v>27</v>
      </c>
    </row>
    <row r="1157" spans="1:17" x14ac:dyDescent="0.3">
      <c r="A1157" t="s">
        <v>1202</v>
      </c>
      <c r="B1157">
        <v>52</v>
      </c>
      <c r="C1157" t="s">
        <v>18</v>
      </c>
      <c r="D1157" t="s">
        <v>25</v>
      </c>
      <c r="E1157" t="s">
        <v>61</v>
      </c>
      <c r="F1157">
        <v>4941</v>
      </c>
      <c r="G1157">
        <v>0</v>
      </c>
      <c r="H1157" t="s">
        <v>37</v>
      </c>
      <c r="I1157" t="s">
        <v>31</v>
      </c>
      <c r="J1157">
        <v>4</v>
      </c>
      <c r="K1157">
        <v>1</v>
      </c>
      <c r="L1157" t="s">
        <v>27</v>
      </c>
      <c r="M1157">
        <v>3</v>
      </c>
      <c r="N1157">
        <v>17</v>
      </c>
      <c r="O1157">
        <v>2</v>
      </c>
      <c r="P1157">
        <v>2</v>
      </c>
      <c r="Q1157" t="s">
        <v>27</v>
      </c>
    </row>
    <row r="1158" spans="1:17" x14ac:dyDescent="0.3">
      <c r="A1158" t="s">
        <v>1203</v>
      </c>
      <c r="B1158">
        <v>31</v>
      </c>
      <c r="C1158" t="s">
        <v>35</v>
      </c>
      <c r="D1158" t="s">
        <v>70</v>
      </c>
      <c r="E1158" t="s">
        <v>71</v>
      </c>
      <c r="F1158">
        <v>7899</v>
      </c>
      <c r="G1158">
        <v>3</v>
      </c>
      <c r="H1158" t="s">
        <v>33</v>
      </c>
      <c r="I1158" t="s">
        <v>22</v>
      </c>
      <c r="J1158">
        <v>3</v>
      </c>
      <c r="K1158">
        <v>2</v>
      </c>
      <c r="L1158" t="s">
        <v>23</v>
      </c>
      <c r="M1158">
        <v>4</v>
      </c>
      <c r="N1158">
        <v>16</v>
      </c>
      <c r="O1158">
        <v>5</v>
      </c>
      <c r="P1158">
        <v>2</v>
      </c>
      <c r="Q1158" t="s">
        <v>27</v>
      </c>
    </row>
    <row r="1159" spans="1:17" x14ac:dyDescent="0.3">
      <c r="A1159" t="s">
        <v>1204</v>
      </c>
      <c r="B1159">
        <v>37</v>
      </c>
      <c r="C1159" t="s">
        <v>18</v>
      </c>
      <c r="D1159" t="s">
        <v>19</v>
      </c>
      <c r="E1159" t="s">
        <v>20</v>
      </c>
      <c r="F1159">
        <v>14728</v>
      </c>
      <c r="G1159">
        <v>3</v>
      </c>
      <c r="H1159" t="s">
        <v>37</v>
      </c>
      <c r="I1159" t="s">
        <v>56</v>
      </c>
      <c r="J1159">
        <v>4</v>
      </c>
      <c r="K1159">
        <v>1</v>
      </c>
      <c r="L1159" t="s">
        <v>27</v>
      </c>
      <c r="M1159">
        <v>2</v>
      </c>
      <c r="N1159">
        <v>10</v>
      </c>
      <c r="O1159">
        <v>1</v>
      </c>
      <c r="P1159">
        <v>3</v>
      </c>
      <c r="Q1159" t="s">
        <v>27</v>
      </c>
    </row>
    <row r="1160" spans="1:17" x14ac:dyDescent="0.3">
      <c r="A1160" t="s">
        <v>1205</v>
      </c>
      <c r="B1160">
        <v>41</v>
      </c>
      <c r="C1160" t="s">
        <v>18</v>
      </c>
      <c r="D1160" t="s">
        <v>29</v>
      </c>
      <c r="E1160" t="s">
        <v>20</v>
      </c>
      <c r="F1160">
        <v>11325</v>
      </c>
      <c r="G1160">
        <v>4</v>
      </c>
      <c r="H1160" t="s">
        <v>37</v>
      </c>
      <c r="I1160" t="s">
        <v>22</v>
      </c>
      <c r="J1160">
        <v>2</v>
      </c>
      <c r="K1160">
        <v>4</v>
      </c>
      <c r="L1160" t="s">
        <v>27</v>
      </c>
      <c r="M1160">
        <v>2</v>
      </c>
      <c r="N1160">
        <v>14</v>
      </c>
      <c r="O1160">
        <v>6</v>
      </c>
      <c r="P1160">
        <v>3</v>
      </c>
      <c r="Q1160" t="s">
        <v>27</v>
      </c>
    </row>
    <row r="1161" spans="1:17" x14ac:dyDescent="0.3">
      <c r="A1161" t="s">
        <v>1206</v>
      </c>
      <c r="B1161">
        <v>18</v>
      </c>
      <c r="C1161" t="s">
        <v>35</v>
      </c>
      <c r="D1161" t="s">
        <v>74</v>
      </c>
      <c r="E1161" t="s">
        <v>75</v>
      </c>
      <c r="F1161">
        <v>3929</v>
      </c>
      <c r="G1161">
        <v>0</v>
      </c>
      <c r="H1161" t="s">
        <v>46</v>
      </c>
      <c r="I1161" t="s">
        <v>22</v>
      </c>
      <c r="J1161">
        <v>4</v>
      </c>
      <c r="K1161">
        <v>3</v>
      </c>
      <c r="L1161" t="s">
        <v>27</v>
      </c>
      <c r="M1161">
        <v>3</v>
      </c>
      <c r="N1161">
        <v>29</v>
      </c>
      <c r="O1161">
        <v>2</v>
      </c>
      <c r="P1161">
        <v>1</v>
      </c>
      <c r="Q1161" t="s">
        <v>27</v>
      </c>
    </row>
    <row r="1162" spans="1:17" x14ac:dyDescent="0.3">
      <c r="A1162" t="s">
        <v>1207</v>
      </c>
      <c r="B1162">
        <v>26</v>
      </c>
      <c r="C1162" t="s">
        <v>35</v>
      </c>
      <c r="D1162" t="s">
        <v>19</v>
      </c>
      <c r="E1162" t="s">
        <v>36</v>
      </c>
      <c r="F1162">
        <v>7326</v>
      </c>
      <c r="G1162">
        <v>8</v>
      </c>
      <c r="H1162" t="s">
        <v>37</v>
      </c>
      <c r="I1162" t="s">
        <v>31</v>
      </c>
      <c r="J1162">
        <v>3</v>
      </c>
      <c r="K1162">
        <v>4</v>
      </c>
      <c r="L1162" t="s">
        <v>27</v>
      </c>
      <c r="M1162">
        <v>3</v>
      </c>
      <c r="N1162">
        <v>19</v>
      </c>
      <c r="O1162">
        <v>5</v>
      </c>
      <c r="P1162">
        <v>4</v>
      </c>
      <c r="Q1162" t="s">
        <v>27</v>
      </c>
    </row>
    <row r="1163" spans="1:17" x14ac:dyDescent="0.3">
      <c r="A1163" t="s">
        <v>1208</v>
      </c>
      <c r="B1163">
        <v>37</v>
      </c>
      <c r="C1163" t="s">
        <v>18</v>
      </c>
      <c r="D1163" t="s">
        <v>25</v>
      </c>
      <c r="E1163" t="s">
        <v>26</v>
      </c>
      <c r="F1163">
        <v>6274</v>
      </c>
      <c r="G1163">
        <v>4</v>
      </c>
      <c r="H1163" t="s">
        <v>33</v>
      </c>
      <c r="I1163" t="s">
        <v>31</v>
      </c>
      <c r="J1163">
        <v>1</v>
      </c>
      <c r="K1163">
        <v>4</v>
      </c>
      <c r="L1163" t="s">
        <v>23</v>
      </c>
      <c r="M1163">
        <v>3</v>
      </c>
      <c r="N1163">
        <v>15</v>
      </c>
      <c r="O1163">
        <v>1</v>
      </c>
      <c r="P1163">
        <v>1</v>
      </c>
      <c r="Q1163" t="s">
        <v>27</v>
      </c>
    </row>
    <row r="1164" spans="1:17" x14ac:dyDescent="0.3">
      <c r="A1164" t="s">
        <v>1209</v>
      </c>
      <c r="B1164">
        <v>36</v>
      </c>
      <c r="C1164" t="s">
        <v>35</v>
      </c>
      <c r="D1164" t="s">
        <v>44</v>
      </c>
      <c r="E1164" t="s">
        <v>54</v>
      </c>
      <c r="F1164">
        <v>5785</v>
      </c>
      <c r="G1164">
        <v>1</v>
      </c>
      <c r="H1164" t="s">
        <v>33</v>
      </c>
      <c r="I1164" t="s">
        <v>31</v>
      </c>
      <c r="J1164">
        <v>1</v>
      </c>
      <c r="K1164">
        <v>3</v>
      </c>
      <c r="L1164" t="s">
        <v>27</v>
      </c>
      <c r="M1164">
        <v>3</v>
      </c>
      <c r="N1164">
        <v>7</v>
      </c>
      <c r="O1164">
        <v>2</v>
      </c>
      <c r="P1164">
        <v>4</v>
      </c>
      <c r="Q1164" t="s">
        <v>27</v>
      </c>
    </row>
    <row r="1165" spans="1:17" x14ac:dyDescent="0.3">
      <c r="A1165" t="s">
        <v>1210</v>
      </c>
      <c r="B1165">
        <v>30</v>
      </c>
      <c r="C1165" t="s">
        <v>35</v>
      </c>
      <c r="D1165" t="s">
        <v>19</v>
      </c>
      <c r="E1165" t="s">
        <v>40</v>
      </c>
      <c r="F1165">
        <v>7621</v>
      </c>
      <c r="G1165">
        <v>1</v>
      </c>
      <c r="H1165" t="s">
        <v>37</v>
      </c>
      <c r="I1165" t="s">
        <v>31</v>
      </c>
      <c r="J1165">
        <v>3</v>
      </c>
      <c r="K1165">
        <v>2</v>
      </c>
      <c r="L1165" t="s">
        <v>27</v>
      </c>
      <c r="M1165">
        <v>2</v>
      </c>
      <c r="N1165">
        <v>5</v>
      </c>
      <c r="O1165">
        <v>3</v>
      </c>
      <c r="P1165">
        <v>1</v>
      </c>
      <c r="Q1165" t="s">
        <v>27</v>
      </c>
    </row>
    <row r="1166" spans="1:17" x14ac:dyDescent="0.3">
      <c r="A1166" t="s">
        <v>1211</v>
      </c>
      <c r="B1166">
        <v>36</v>
      </c>
      <c r="C1166" t="s">
        <v>18</v>
      </c>
      <c r="D1166" t="s">
        <v>19</v>
      </c>
      <c r="E1166" t="s">
        <v>40</v>
      </c>
      <c r="F1166">
        <v>10480</v>
      </c>
      <c r="G1166">
        <v>10</v>
      </c>
      <c r="H1166" t="s">
        <v>21</v>
      </c>
      <c r="I1166" t="s">
        <v>31</v>
      </c>
      <c r="J1166">
        <v>3</v>
      </c>
      <c r="K1166">
        <v>4</v>
      </c>
      <c r="L1166" t="s">
        <v>23</v>
      </c>
      <c r="M1166">
        <v>1</v>
      </c>
      <c r="N1166">
        <v>15</v>
      </c>
      <c r="O1166">
        <v>3</v>
      </c>
      <c r="P1166">
        <v>4</v>
      </c>
      <c r="Q1166" t="s">
        <v>27</v>
      </c>
    </row>
    <row r="1167" spans="1:17" x14ac:dyDescent="0.3">
      <c r="A1167" t="s">
        <v>1212</v>
      </c>
      <c r="B1167">
        <v>29</v>
      </c>
      <c r="C1167" t="s">
        <v>35</v>
      </c>
      <c r="D1167" t="s">
        <v>44</v>
      </c>
      <c r="E1167" t="s">
        <v>45</v>
      </c>
      <c r="F1167">
        <v>6600</v>
      </c>
      <c r="G1167">
        <v>5</v>
      </c>
      <c r="H1167" t="s">
        <v>37</v>
      </c>
      <c r="I1167" t="s">
        <v>22</v>
      </c>
      <c r="J1167">
        <v>4</v>
      </c>
      <c r="K1167">
        <v>2</v>
      </c>
      <c r="L1167" t="s">
        <v>23</v>
      </c>
      <c r="M1167">
        <v>3</v>
      </c>
      <c r="N1167">
        <v>4</v>
      </c>
      <c r="O1167">
        <v>5</v>
      </c>
      <c r="P1167">
        <v>4</v>
      </c>
      <c r="Q1167" t="s">
        <v>27</v>
      </c>
    </row>
    <row r="1168" spans="1:17" x14ac:dyDescent="0.3">
      <c r="A1168" t="s">
        <v>1213</v>
      </c>
      <c r="B1168">
        <v>40</v>
      </c>
      <c r="C1168" t="s">
        <v>35</v>
      </c>
      <c r="D1168" t="s">
        <v>74</v>
      </c>
      <c r="E1168" t="s">
        <v>75</v>
      </c>
      <c r="F1168">
        <v>9495</v>
      </c>
      <c r="G1168">
        <v>11</v>
      </c>
      <c r="H1168" t="s">
        <v>37</v>
      </c>
      <c r="I1168" t="s">
        <v>31</v>
      </c>
      <c r="J1168">
        <v>3</v>
      </c>
      <c r="K1168">
        <v>3</v>
      </c>
      <c r="L1168" t="s">
        <v>27</v>
      </c>
      <c r="M1168">
        <v>3</v>
      </c>
      <c r="N1168">
        <v>15</v>
      </c>
      <c r="O1168">
        <v>2</v>
      </c>
      <c r="P1168">
        <v>3</v>
      </c>
      <c r="Q1168" t="s">
        <v>27</v>
      </c>
    </row>
    <row r="1169" spans="1:17" x14ac:dyDescent="0.3">
      <c r="A1169" t="s">
        <v>1214</v>
      </c>
      <c r="B1169">
        <v>35</v>
      </c>
      <c r="C1169" t="s">
        <v>35</v>
      </c>
      <c r="D1169" t="s">
        <v>19</v>
      </c>
      <c r="E1169" t="s">
        <v>40</v>
      </c>
      <c r="F1169">
        <v>5098</v>
      </c>
      <c r="G1169">
        <v>4</v>
      </c>
      <c r="H1169" t="s">
        <v>37</v>
      </c>
      <c r="I1169" t="s">
        <v>22</v>
      </c>
      <c r="J1169">
        <v>1</v>
      </c>
      <c r="K1169">
        <v>2</v>
      </c>
      <c r="L1169" t="s">
        <v>27</v>
      </c>
      <c r="M1169">
        <v>3</v>
      </c>
      <c r="N1169">
        <v>4</v>
      </c>
      <c r="O1169">
        <v>1</v>
      </c>
      <c r="P1169">
        <v>3</v>
      </c>
      <c r="Q1169" t="s">
        <v>27</v>
      </c>
    </row>
    <row r="1170" spans="1:17" x14ac:dyDescent="0.3">
      <c r="A1170" t="s">
        <v>1215</v>
      </c>
      <c r="B1170">
        <v>34</v>
      </c>
      <c r="C1170" t="s">
        <v>35</v>
      </c>
      <c r="D1170" t="s">
        <v>29</v>
      </c>
      <c r="E1170" t="s">
        <v>49</v>
      </c>
      <c r="F1170">
        <v>7362</v>
      </c>
      <c r="G1170">
        <v>1</v>
      </c>
      <c r="H1170" t="s">
        <v>37</v>
      </c>
      <c r="I1170" t="s">
        <v>22</v>
      </c>
      <c r="J1170">
        <v>4</v>
      </c>
      <c r="K1170">
        <v>4</v>
      </c>
      <c r="L1170" t="s">
        <v>23</v>
      </c>
      <c r="M1170">
        <v>3</v>
      </c>
      <c r="N1170">
        <v>7</v>
      </c>
      <c r="O1170">
        <v>4</v>
      </c>
      <c r="P1170">
        <v>2</v>
      </c>
      <c r="Q1170" t="s">
        <v>23</v>
      </c>
    </row>
    <row r="1171" spans="1:17" x14ac:dyDescent="0.3">
      <c r="A1171" t="s">
        <v>1216</v>
      </c>
      <c r="B1171">
        <v>41</v>
      </c>
      <c r="C1171" t="s">
        <v>35</v>
      </c>
      <c r="D1171" t="s">
        <v>70</v>
      </c>
      <c r="E1171" t="s">
        <v>71</v>
      </c>
      <c r="F1171">
        <v>6340</v>
      </c>
      <c r="G1171">
        <v>0</v>
      </c>
      <c r="H1171" t="s">
        <v>37</v>
      </c>
      <c r="I1171" t="s">
        <v>31</v>
      </c>
      <c r="J1171">
        <v>2</v>
      </c>
      <c r="K1171">
        <v>4</v>
      </c>
      <c r="L1171" t="s">
        <v>23</v>
      </c>
      <c r="M1171">
        <v>2</v>
      </c>
      <c r="N1171">
        <v>17</v>
      </c>
      <c r="O1171">
        <v>2</v>
      </c>
      <c r="P1171">
        <v>1</v>
      </c>
      <c r="Q1171" t="s">
        <v>27</v>
      </c>
    </row>
    <row r="1172" spans="1:17" x14ac:dyDescent="0.3">
      <c r="A1172" t="s">
        <v>1217</v>
      </c>
      <c r="B1172">
        <v>35</v>
      </c>
      <c r="C1172" t="s">
        <v>18</v>
      </c>
      <c r="D1172" t="s">
        <v>25</v>
      </c>
      <c r="E1172" t="s">
        <v>61</v>
      </c>
      <c r="F1172">
        <v>8425</v>
      </c>
      <c r="G1172">
        <v>13</v>
      </c>
      <c r="H1172" t="s">
        <v>21</v>
      </c>
      <c r="I1172" t="s">
        <v>56</v>
      </c>
      <c r="J1172">
        <v>3</v>
      </c>
      <c r="K1172">
        <v>3</v>
      </c>
      <c r="L1172" t="s">
        <v>27</v>
      </c>
      <c r="M1172">
        <v>3</v>
      </c>
      <c r="N1172">
        <v>5</v>
      </c>
      <c r="O1172">
        <v>4</v>
      </c>
      <c r="P1172">
        <v>1</v>
      </c>
      <c r="Q1172" t="s">
        <v>27</v>
      </c>
    </row>
    <row r="1173" spans="1:17" x14ac:dyDescent="0.3">
      <c r="A1173" t="s">
        <v>1218</v>
      </c>
      <c r="B1173">
        <v>25</v>
      </c>
      <c r="C1173" t="s">
        <v>35</v>
      </c>
      <c r="D1173" t="s">
        <v>25</v>
      </c>
      <c r="E1173" t="s">
        <v>26</v>
      </c>
      <c r="F1173">
        <v>5629</v>
      </c>
      <c r="G1173">
        <v>1</v>
      </c>
      <c r="H1173" t="s">
        <v>33</v>
      </c>
      <c r="I1173" t="s">
        <v>31</v>
      </c>
      <c r="J1173">
        <v>2</v>
      </c>
      <c r="K1173">
        <v>4</v>
      </c>
      <c r="L1173" t="s">
        <v>23</v>
      </c>
      <c r="M1173">
        <v>2</v>
      </c>
      <c r="N1173">
        <v>17</v>
      </c>
      <c r="O1173">
        <v>1</v>
      </c>
      <c r="P1173">
        <v>3</v>
      </c>
      <c r="Q1173" t="s">
        <v>27</v>
      </c>
    </row>
    <row r="1174" spans="1:17" x14ac:dyDescent="0.3">
      <c r="A1174" t="s">
        <v>1219</v>
      </c>
      <c r="B1174">
        <v>19</v>
      </c>
      <c r="C1174" t="s">
        <v>18</v>
      </c>
      <c r="D1174" t="s">
        <v>25</v>
      </c>
      <c r="E1174" t="s">
        <v>26</v>
      </c>
      <c r="F1174">
        <v>8060</v>
      </c>
      <c r="G1174">
        <v>0</v>
      </c>
      <c r="H1174" t="s">
        <v>37</v>
      </c>
      <c r="I1174" t="s">
        <v>22</v>
      </c>
      <c r="J1174">
        <v>3</v>
      </c>
      <c r="K1174">
        <v>3</v>
      </c>
      <c r="L1174" t="s">
        <v>23</v>
      </c>
      <c r="M1174">
        <v>3</v>
      </c>
      <c r="N1174">
        <v>6</v>
      </c>
      <c r="O1174">
        <v>4</v>
      </c>
      <c r="P1174">
        <v>1</v>
      </c>
      <c r="Q1174" t="s">
        <v>27</v>
      </c>
    </row>
    <row r="1175" spans="1:17" x14ac:dyDescent="0.3">
      <c r="A1175" t="s">
        <v>1220</v>
      </c>
      <c r="B1175">
        <v>30</v>
      </c>
      <c r="C1175" t="s">
        <v>18</v>
      </c>
      <c r="D1175" t="s">
        <v>44</v>
      </c>
      <c r="E1175" t="s">
        <v>45</v>
      </c>
      <c r="F1175">
        <v>8940</v>
      </c>
      <c r="G1175">
        <v>2</v>
      </c>
      <c r="H1175" t="s">
        <v>37</v>
      </c>
      <c r="I1175" t="s">
        <v>22</v>
      </c>
      <c r="J1175">
        <v>4</v>
      </c>
      <c r="K1175">
        <v>3</v>
      </c>
      <c r="L1175" t="s">
        <v>27</v>
      </c>
      <c r="M1175">
        <v>4</v>
      </c>
      <c r="N1175">
        <v>3</v>
      </c>
      <c r="O1175">
        <v>0</v>
      </c>
      <c r="P1175">
        <v>1</v>
      </c>
      <c r="Q1175" t="s">
        <v>27</v>
      </c>
    </row>
    <row r="1176" spans="1:17" x14ac:dyDescent="0.3">
      <c r="A1176" t="s">
        <v>1221</v>
      </c>
      <c r="B1176">
        <v>20</v>
      </c>
      <c r="C1176" t="s">
        <v>35</v>
      </c>
      <c r="D1176" t="s">
        <v>19</v>
      </c>
      <c r="E1176" t="s">
        <v>20</v>
      </c>
      <c r="F1176">
        <v>11049</v>
      </c>
      <c r="G1176">
        <v>2</v>
      </c>
      <c r="H1176" t="s">
        <v>21</v>
      </c>
      <c r="I1176" t="s">
        <v>56</v>
      </c>
      <c r="J1176">
        <v>2</v>
      </c>
      <c r="K1176">
        <v>2</v>
      </c>
      <c r="L1176" t="s">
        <v>23</v>
      </c>
      <c r="M1176">
        <v>3</v>
      </c>
      <c r="N1176">
        <v>18</v>
      </c>
      <c r="O1176">
        <v>5</v>
      </c>
      <c r="P1176">
        <v>2</v>
      </c>
      <c r="Q1176" t="s">
        <v>27</v>
      </c>
    </row>
    <row r="1177" spans="1:17" x14ac:dyDescent="0.3">
      <c r="A1177" t="s">
        <v>1222</v>
      </c>
      <c r="B1177">
        <v>27</v>
      </c>
      <c r="C1177" t="s">
        <v>18</v>
      </c>
      <c r="D1177" t="s">
        <v>25</v>
      </c>
      <c r="E1177" t="s">
        <v>26</v>
      </c>
      <c r="F1177">
        <v>9287</v>
      </c>
      <c r="G1177">
        <v>8</v>
      </c>
      <c r="H1177" t="s">
        <v>37</v>
      </c>
      <c r="I1177" t="s">
        <v>22</v>
      </c>
      <c r="J1177">
        <v>2</v>
      </c>
      <c r="K1177">
        <v>4</v>
      </c>
      <c r="L1177" t="s">
        <v>27</v>
      </c>
      <c r="M1177">
        <v>3</v>
      </c>
      <c r="N1177">
        <v>28</v>
      </c>
      <c r="O1177">
        <v>0</v>
      </c>
      <c r="P1177">
        <v>2</v>
      </c>
      <c r="Q1177" t="s">
        <v>27</v>
      </c>
    </row>
    <row r="1178" spans="1:17" x14ac:dyDescent="0.3">
      <c r="A1178" t="s">
        <v>1223</v>
      </c>
      <c r="B1178">
        <v>27</v>
      </c>
      <c r="C1178" t="s">
        <v>18</v>
      </c>
      <c r="D1178" t="s">
        <v>70</v>
      </c>
      <c r="E1178" t="s">
        <v>71</v>
      </c>
      <c r="F1178">
        <v>12745</v>
      </c>
      <c r="G1178">
        <v>2</v>
      </c>
      <c r="H1178" t="s">
        <v>21</v>
      </c>
      <c r="I1178" t="s">
        <v>31</v>
      </c>
      <c r="J1178">
        <v>3</v>
      </c>
      <c r="K1178">
        <v>2</v>
      </c>
      <c r="L1178" t="s">
        <v>27</v>
      </c>
      <c r="M1178">
        <v>1</v>
      </c>
      <c r="N1178">
        <v>16</v>
      </c>
      <c r="O1178">
        <v>5</v>
      </c>
      <c r="P1178">
        <v>1</v>
      </c>
      <c r="Q1178" t="s">
        <v>27</v>
      </c>
    </row>
    <row r="1179" spans="1:17" x14ac:dyDescent="0.3">
      <c r="A1179" t="s">
        <v>1224</v>
      </c>
      <c r="B1179">
        <v>37</v>
      </c>
      <c r="C1179" t="s">
        <v>18</v>
      </c>
      <c r="D1179" t="s">
        <v>74</v>
      </c>
      <c r="E1179" t="s">
        <v>75</v>
      </c>
      <c r="F1179">
        <v>9250</v>
      </c>
      <c r="G1179">
        <v>10</v>
      </c>
      <c r="H1179" t="s">
        <v>37</v>
      </c>
      <c r="I1179" t="s">
        <v>31</v>
      </c>
      <c r="J1179">
        <v>1</v>
      </c>
      <c r="K1179">
        <v>1</v>
      </c>
      <c r="L1179" t="s">
        <v>27</v>
      </c>
      <c r="M1179">
        <v>3</v>
      </c>
      <c r="N1179">
        <v>22</v>
      </c>
      <c r="O1179">
        <v>6</v>
      </c>
      <c r="P1179">
        <v>3</v>
      </c>
      <c r="Q1179" t="s">
        <v>27</v>
      </c>
    </row>
    <row r="1180" spans="1:17" x14ac:dyDescent="0.3">
      <c r="A1180" t="s">
        <v>1225</v>
      </c>
      <c r="B1180">
        <v>36</v>
      </c>
      <c r="C1180" t="s">
        <v>18</v>
      </c>
      <c r="D1180" t="s">
        <v>25</v>
      </c>
      <c r="E1180" t="s">
        <v>26</v>
      </c>
      <c r="F1180">
        <v>6822</v>
      </c>
      <c r="G1180">
        <v>4</v>
      </c>
      <c r="H1180" t="s">
        <v>37</v>
      </c>
      <c r="I1180" t="s">
        <v>22</v>
      </c>
      <c r="J1180">
        <v>1</v>
      </c>
      <c r="K1180">
        <v>1</v>
      </c>
      <c r="L1180" t="s">
        <v>27</v>
      </c>
      <c r="M1180">
        <v>4</v>
      </c>
      <c r="N1180">
        <v>3</v>
      </c>
      <c r="O1180">
        <v>6</v>
      </c>
      <c r="P1180">
        <v>4</v>
      </c>
      <c r="Q1180" t="s">
        <v>27</v>
      </c>
    </row>
    <row r="1181" spans="1:17" x14ac:dyDescent="0.3">
      <c r="A1181" t="s">
        <v>1226</v>
      </c>
      <c r="B1181">
        <v>28</v>
      </c>
      <c r="C1181" t="s">
        <v>35</v>
      </c>
      <c r="D1181" t="s">
        <v>25</v>
      </c>
      <c r="E1181" t="s">
        <v>26</v>
      </c>
      <c r="F1181">
        <v>12444</v>
      </c>
      <c r="G1181">
        <v>9</v>
      </c>
      <c r="H1181" t="s">
        <v>21</v>
      </c>
      <c r="I1181" t="s">
        <v>31</v>
      </c>
      <c r="J1181">
        <v>3</v>
      </c>
      <c r="K1181">
        <v>2</v>
      </c>
      <c r="L1181" t="s">
        <v>27</v>
      </c>
      <c r="M1181">
        <v>3</v>
      </c>
      <c r="N1181">
        <v>22</v>
      </c>
      <c r="O1181">
        <v>5</v>
      </c>
      <c r="P1181">
        <v>1</v>
      </c>
      <c r="Q1181" t="s">
        <v>27</v>
      </c>
    </row>
    <row r="1182" spans="1:17" x14ac:dyDescent="0.3">
      <c r="A1182" t="s">
        <v>1227</v>
      </c>
      <c r="B1182">
        <v>32</v>
      </c>
      <c r="C1182" t="s">
        <v>35</v>
      </c>
      <c r="D1182" t="s">
        <v>25</v>
      </c>
      <c r="E1182" t="s">
        <v>61</v>
      </c>
      <c r="F1182">
        <v>6700</v>
      </c>
      <c r="G1182">
        <v>4</v>
      </c>
      <c r="H1182" t="s">
        <v>37</v>
      </c>
      <c r="I1182" t="s">
        <v>56</v>
      </c>
      <c r="J1182">
        <v>2</v>
      </c>
      <c r="K1182">
        <v>1</v>
      </c>
      <c r="L1182" t="s">
        <v>27</v>
      </c>
      <c r="M1182">
        <v>3</v>
      </c>
      <c r="N1182">
        <v>23</v>
      </c>
      <c r="O1182">
        <v>5</v>
      </c>
      <c r="P1182">
        <v>3</v>
      </c>
      <c r="Q1182" t="s">
        <v>27</v>
      </c>
    </row>
    <row r="1183" spans="1:17" x14ac:dyDescent="0.3">
      <c r="A1183" t="s">
        <v>1228</v>
      </c>
      <c r="B1183">
        <v>36</v>
      </c>
      <c r="C1183" t="s">
        <v>35</v>
      </c>
      <c r="D1183" t="s">
        <v>25</v>
      </c>
      <c r="E1183" t="s">
        <v>26</v>
      </c>
      <c r="F1183">
        <v>10955</v>
      </c>
      <c r="G1183">
        <v>8</v>
      </c>
      <c r="H1183" t="s">
        <v>37</v>
      </c>
      <c r="I1183" t="s">
        <v>31</v>
      </c>
      <c r="J1183">
        <v>4</v>
      </c>
      <c r="K1183">
        <v>3</v>
      </c>
      <c r="L1183" t="s">
        <v>27</v>
      </c>
      <c r="M1183">
        <v>3</v>
      </c>
      <c r="N1183">
        <v>7</v>
      </c>
      <c r="O1183">
        <v>1</v>
      </c>
      <c r="P1183">
        <v>3</v>
      </c>
      <c r="Q1183" t="s">
        <v>27</v>
      </c>
    </row>
    <row r="1184" spans="1:17" x14ac:dyDescent="0.3">
      <c r="A1184" t="s">
        <v>1229</v>
      </c>
      <c r="B1184">
        <v>25</v>
      </c>
      <c r="C1184" t="s">
        <v>35</v>
      </c>
      <c r="D1184" t="s">
        <v>25</v>
      </c>
      <c r="E1184" t="s">
        <v>26</v>
      </c>
      <c r="F1184">
        <v>10738</v>
      </c>
      <c r="G1184">
        <v>6</v>
      </c>
      <c r="H1184" t="s">
        <v>46</v>
      </c>
      <c r="I1184" t="s">
        <v>22</v>
      </c>
      <c r="J1184">
        <v>2</v>
      </c>
      <c r="K1184">
        <v>2</v>
      </c>
      <c r="L1184" t="s">
        <v>27</v>
      </c>
      <c r="M1184">
        <v>3</v>
      </c>
      <c r="N1184">
        <v>18</v>
      </c>
      <c r="O1184">
        <v>0</v>
      </c>
      <c r="P1184">
        <v>4</v>
      </c>
      <c r="Q1184" t="s">
        <v>27</v>
      </c>
    </row>
    <row r="1185" spans="1:17" x14ac:dyDescent="0.3">
      <c r="A1185" t="s">
        <v>1230</v>
      </c>
      <c r="B1185">
        <v>30</v>
      </c>
      <c r="C1185" t="s">
        <v>35</v>
      </c>
      <c r="D1185" t="s">
        <v>44</v>
      </c>
      <c r="E1185" t="s">
        <v>45</v>
      </c>
      <c r="F1185">
        <v>12606</v>
      </c>
      <c r="G1185">
        <v>9</v>
      </c>
      <c r="H1185" t="s">
        <v>21</v>
      </c>
      <c r="I1185" t="s">
        <v>22</v>
      </c>
      <c r="J1185">
        <v>2</v>
      </c>
      <c r="K1185">
        <v>2</v>
      </c>
      <c r="L1185" t="s">
        <v>27</v>
      </c>
      <c r="M1185">
        <v>3</v>
      </c>
      <c r="N1185">
        <v>2</v>
      </c>
      <c r="O1185">
        <v>2</v>
      </c>
      <c r="P1185">
        <v>2</v>
      </c>
      <c r="Q1185" t="s">
        <v>27</v>
      </c>
    </row>
    <row r="1186" spans="1:17" x14ac:dyDescent="0.3">
      <c r="A1186" t="s">
        <v>1231</v>
      </c>
      <c r="B1186">
        <v>41</v>
      </c>
      <c r="C1186" t="s">
        <v>18</v>
      </c>
      <c r="D1186" t="s">
        <v>25</v>
      </c>
      <c r="E1186" t="s">
        <v>26</v>
      </c>
      <c r="F1186">
        <v>7910</v>
      </c>
      <c r="G1186">
        <v>2</v>
      </c>
      <c r="H1186" t="s">
        <v>37</v>
      </c>
      <c r="I1186" t="s">
        <v>56</v>
      </c>
      <c r="J1186">
        <v>4</v>
      </c>
      <c r="K1186">
        <v>3</v>
      </c>
      <c r="L1186" t="s">
        <v>27</v>
      </c>
      <c r="M1186">
        <v>3</v>
      </c>
      <c r="N1186">
        <v>21</v>
      </c>
      <c r="O1186">
        <v>1</v>
      </c>
      <c r="P1186">
        <v>4</v>
      </c>
      <c r="Q1186" t="s">
        <v>27</v>
      </c>
    </row>
    <row r="1187" spans="1:17" x14ac:dyDescent="0.3">
      <c r="A1187" t="s">
        <v>1232</v>
      </c>
      <c r="B1187">
        <v>33</v>
      </c>
      <c r="C1187" t="s">
        <v>35</v>
      </c>
      <c r="D1187" t="s">
        <v>44</v>
      </c>
      <c r="E1187" t="s">
        <v>45</v>
      </c>
      <c r="F1187">
        <v>7111</v>
      </c>
      <c r="G1187">
        <v>6</v>
      </c>
      <c r="H1187" t="s">
        <v>33</v>
      </c>
      <c r="I1187" t="s">
        <v>31</v>
      </c>
      <c r="J1187">
        <v>2</v>
      </c>
      <c r="K1187">
        <v>4</v>
      </c>
      <c r="L1187" t="s">
        <v>27</v>
      </c>
      <c r="M1187">
        <v>3</v>
      </c>
      <c r="N1187">
        <v>30</v>
      </c>
      <c r="O1187">
        <v>5</v>
      </c>
      <c r="P1187">
        <v>3</v>
      </c>
      <c r="Q1187" t="s">
        <v>27</v>
      </c>
    </row>
    <row r="1188" spans="1:17" x14ac:dyDescent="0.3">
      <c r="A1188" t="s">
        <v>1233</v>
      </c>
      <c r="B1188">
        <v>37</v>
      </c>
      <c r="C1188" t="s">
        <v>35</v>
      </c>
      <c r="D1188" t="s">
        <v>19</v>
      </c>
      <c r="E1188" t="s">
        <v>40</v>
      </c>
      <c r="F1188">
        <v>8230</v>
      </c>
      <c r="G1188">
        <v>0</v>
      </c>
      <c r="H1188" t="s">
        <v>37</v>
      </c>
      <c r="I1188" t="s">
        <v>31</v>
      </c>
      <c r="J1188">
        <v>4</v>
      </c>
      <c r="K1188">
        <v>3</v>
      </c>
      <c r="L1188" t="s">
        <v>23</v>
      </c>
      <c r="M1188">
        <v>3</v>
      </c>
      <c r="N1188">
        <v>30</v>
      </c>
      <c r="O1188">
        <v>5</v>
      </c>
      <c r="P1188">
        <v>4</v>
      </c>
      <c r="Q1188" t="s">
        <v>27</v>
      </c>
    </row>
    <row r="1189" spans="1:17" x14ac:dyDescent="0.3">
      <c r="A1189" t="s">
        <v>1234</v>
      </c>
      <c r="B1189">
        <v>23</v>
      </c>
      <c r="C1189" t="s">
        <v>35</v>
      </c>
      <c r="D1189" t="s">
        <v>25</v>
      </c>
      <c r="E1189" t="s">
        <v>26</v>
      </c>
      <c r="F1189">
        <v>5142</v>
      </c>
      <c r="G1189">
        <v>1</v>
      </c>
      <c r="H1189" t="s">
        <v>37</v>
      </c>
      <c r="I1189" t="s">
        <v>56</v>
      </c>
      <c r="J1189">
        <v>4</v>
      </c>
      <c r="K1189">
        <v>1</v>
      </c>
      <c r="L1189" t="s">
        <v>27</v>
      </c>
      <c r="M1189">
        <v>2</v>
      </c>
      <c r="N1189">
        <v>20</v>
      </c>
      <c r="O1189">
        <v>6</v>
      </c>
      <c r="P1189">
        <v>4</v>
      </c>
      <c r="Q1189" t="s">
        <v>27</v>
      </c>
    </row>
    <row r="1190" spans="1:17" x14ac:dyDescent="0.3">
      <c r="A1190" t="s">
        <v>1235</v>
      </c>
      <c r="B1190">
        <v>18</v>
      </c>
      <c r="C1190" t="s">
        <v>35</v>
      </c>
      <c r="D1190" t="s">
        <v>19</v>
      </c>
      <c r="E1190" t="s">
        <v>36</v>
      </c>
      <c r="F1190">
        <v>4899</v>
      </c>
      <c r="G1190">
        <v>0</v>
      </c>
      <c r="H1190" t="s">
        <v>37</v>
      </c>
      <c r="I1190" t="s">
        <v>22</v>
      </c>
      <c r="J1190">
        <v>4</v>
      </c>
      <c r="K1190">
        <v>1</v>
      </c>
      <c r="L1190" t="s">
        <v>23</v>
      </c>
      <c r="M1190">
        <v>3</v>
      </c>
      <c r="N1190">
        <v>17</v>
      </c>
      <c r="O1190">
        <v>4</v>
      </c>
      <c r="P1190">
        <v>4</v>
      </c>
      <c r="Q1190" t="s">
        <v>27</v>
      </c>
    </row>
    <row r="1191" spans="1:17" x14ac:dyDescent="0.3">
      <c r="A1191" t="s">
        <v>1236</v>
      </c>
      <c r="B1191">
        <v>40</v>
      </c>
      <c r="C1191" t="s">
        <v>35</v>
      </c>
      <c r="D1191" t="s">
        <v>74</v>
      </c>
      <c r="E1191" t="s">
        <v>99</v>
      </c>
      <c r="F1191">
        <v>14049</v>
      </c>
      <c r="G1191">
        <v>18</v>
      </c>
      <c r="H1191" t="s">
        <v>46</v>
      </c>
      <c r="I1191" t="s">
        <v>22</v>
      </c>
      <c r="J1191">
        <v>3</v>
      </c>
      <c r="K1191">
        <v>2</v>
      </c>
      <c r="L1191" t="s">
        <v>27</v>
      </c>
      <c r="M1191">
        <v>3</v>
      </c>
      <c r="N1191">
        <v>4</v>
      </c>
      <c r="O1191">
        <v>6</v>
      </c>
      <c r="P1191">
        <v>3</v>
      </c>
      <c r="Q1191" t="s">
        <v>27</v>
      </c>
    </row>
    <row r="1192" spans="1:17" x14ac:dyDescent="0.3">
      <c r="A1192" t="s">
        <v>1237</v>
      </c>
      <c r="B1192">
        <v>46</v>
      </c>
      <c r="C1192" t="s">
        <v>18</v>
      </c>
      <c r="D1192" t="s">
        <v>25</v>
      </c>
      <c r="E1192" t="s">
        <v>26</v>
      </c>
      <c r="F1192">
        <v>10109</v>
      </c>
      <c r="G1192">
        <v>2</v>
      </c>
      <c r="H1192" t="s">
        <v>46</v>
      </c>
      <c r="I1192" t="s">
        <v>31</v>
      </c>
      <c r="J1192">
        <v>2</v>
      </c>
      <c r="K1192">
        <v>3</v>
      </c>
      <c r="L1192" t="s">
        <v>27</v>
      </c>
      <c r="M1192">
        <v>3</v>
      </c>
      <c r="N1192">
        <v>27</v>
      </c>
      <c r="O1192">
        <v>5</v>
      </c>
      <c r="P1192">
        <v>2</v>
      </c>
      <c r="Q1192" t="s">
        <v>27</v>
      </c>
    </row>
    <row r="1193" spans="1:17" x14ac:dyDescent="0.3">
      <c r="A1193" t="s">
        <v>1238</v>
      </c>
      <c r="B1193">
        <v>22</v>
      </c>
      <c r="C1193" t="s">
        <v>18</v>
      </c>
      <c r="D1193" t="s">
        <v>74</v>
      </c>
      <c r="E1193" t="s">
        <v>20</v>
      </c>
      <c r="F1193">
        <v>16744</v>
      </c>
      <c r="G1193">
        <v>4</v>
      </c>
      <c r="H1193" t="s">
        <v>21</v>
      </c>
      <c r="I1193" t="s">
        <v>22</v>
      </c>
      <c r="J1193">
        <v>1</v>
      </c>
      <c r="K1193">
        <v>4</v>
      </c>
      <c r="L1193" t="s">
        <v>27</v>
      </c>
      <c r="M1193">
        <v>4</v>
      </c>
      <c r="N1193">
        <v>12</v>
      </c>
      <c r="O1193">
        <v>5</v>
      </c>
      <c r="P1193">
        <v>2</v>
      </c>
      <c r="Q1193" t="s">
        <v>27</v>
      </c>
    </row>
    <row r="1194" spans="1:17" x14ac:dyDescent="0.3">
      <c r="A1194" t="s">
        <v>1239</v>
      </c>
      <c r="B1194">
        <v>40</v>
      </c>
      <c r="C1194" t="s">
        <v>35</v>
      </c>
      <c r="D1194" t="s">
        <v>44</v>
      </c>
      <c r="E1194" t="s">
        <v>54</v>
      </c>
      <c r="F1194">
        <v>10084</v>
      </c>
      <c r="G1194">
        <v>0</v>
      </c>
      <c r="H1194" t="s">
        <v>21</v>
      </c>
      <c r="I1194" t="s">
        <v>31</v>
      </c>
      <c r="J1194">
        <v>1</v>
      </c>
      <c r="K1194">
        <v>3</v>
      </c>
      <c r="L1194" t="s">
        <v>27</v>
      </c>
      <c r="M1194">
        <v>4</v>
      </c>
      <c r="N1194">
        <v>19</v>
      </c>
      <c r="O1194">
        <v>0</v>
      </c>
      <c r="P1194">
        <v>1</v>
      </c>
      <c r="Q1194" t="s">
        <v>27</v>
      </c>
    </row>
    <row r="1195" spans="1:17" x14ac:dyDescent="0.3">
      <c r="A1195" t="s">
        <v>1240</v>
      </c>
      <c r="B1195">
        <v>32</v>
      </c>
      <c r="C1195" t="s">
        <v>18</v>
      </c>
      <c r="D1195" t="s">
        <v>74</v>
      </c>
      <c r="E1195" t="s">
        <v>99</v>
      </c>
      <c r="F1195">
        <v>9323</v>
      </c>
      <c r="G1195">
        <v>5</v>
      </c>
      <c r="H1195" t="s">
        <v>21</v>
      </c>
      <c r="I1195" t="s">
        <v>22</v>
      </c>
      <c r="J1195">
        <v>1</v>
      </c>
      <c r="K1195">
        <v>1</v>
      </c>
      <c r="L1195" t="s">
        <v>27</v>
      </c>
      <c r="M1195">
        <v>2</v>
      </c>
      <c r="N1195">
        <v>8</v>
      </c>
      <c r="O1195">
        <v>2</v>
      </c>
      <c r="P1195">
        <v>4</v>
      </c>
      <c r="Q1195" t="s">
        <v>23</v>
      </c>
    </row>
    <row r="1196" spans="1:17" x14ac:dyDescent="0.3">
      <c r="A1196" t="s">
        <v>1241</v>
      </c>
      <c r="B1196">
        <v>36</v>
      </c>
      <c r="C1196" t="s">
        <v>18</v>
      </c>
      <c r="D1196" t="s">
        <v>74</v>
      </c>
      <c r="E1196" t="s">
        <v>20</v>
      </c>
      <c r="F1196">
        <v>12462</v>
      </c>
      <c r="G1196">
        <v>2</v>
      </c>
      <c r="H1196" t="s">
        <v>46</v>
      </c>
      <c r="I1196" t="s">
        <v>31</v>
      </c>
      <c r="J1196">
        <v>1</v>
      </c>
      <c r="K1196">
        <v>1</v>
      </c>
      <c r="L1196" t="s">
        <v>27</v>
      </c>
      <c r="M1196">
        <v>1</v>
      </c>
      <c r="N1196">
        <v>17</v>
      </c>
      <c r="O1196">
        <v>5</v>
      </c>
      <c r="P1196">
        <v>2</v>
      </c>
      <c r="Q1196" t="s">
        <v>27</v>
      </c>
    </row>
    <row r="1197" spans="1:17" x14ac:dyDescent="0.3">
      <c r="A1197" t="s">
        <v>1242</v>
      </c>
      <c r="B1197">
        <v>26</v>
      </c>
      <c r="C1197" t="s">
        <v>18</v>
      </c>
      <c r="D1197" t="s">
        <v>25</v>
      </c>
      <c r="E1197" t="s">
        <v>26</v>
      </c>
      <c r="F1197">
        <v>10955</v>
      </c>
      <c r="G1197">
        <v>6</v>
      </c>
      <c r="H1197" t="s">
        <v>21</v>
      </c>
      <c r="I1197" t="s">
        <v>22</v>
      </c>
      <c r="J1197">
        <v>4</v>
      </c>
      <c r="K1197">
        <v>4</v>
      </c>
      <c r="L1197" t="s">
        <v>23</v>
      </c>
      <c r="M1197">
        <v>4</v>
      </c>
      <c r="N1197">
        <v>26</v>
      </c>
      <c r="O1197">
        <v>3</v>
      </c>
      <c r="P1197">
        <v>1</v>
      </c>
      <c r="Q1197" t="s">
        <v>27</v>
      </c>
    </row>
    <row r="1198" spans="1:17" x14ac:dyDescent="0.3">
      <c r="A1198" t="s">
        <v>1243</v>
      </c>
      <c r="B1198">
        <v>18</v>
      </c>
      <c r="C1198" t="s">
        <v>18</v>
      </c>
      <c r="D1198" t="s">
        <v>25</v>
      </c>
      <c r="E1198" t="s">
        <v>26</v>
      </c>
      <c r="F1198">
        <v>4474</v>
      </c>
      <c r="G1198">
        <v>0</v>
      </c>
      <c r="H1198" t="s">
        <v>46</v>
      </c>
      <c r="I1198" t="s">
        <v>56</v>
      </c>
      <c r="J1198">
        <v>1</v>
      </c>
      <c r="K1198">
        <v>1</v>
      </c>
      <c r="L1198" t="s">
        <v>23</v>
      </c>
      <c r="M1198">
        <v>3</v>
      </c>
      <c r="N1198">
        <v>22</v>
      </c>
      <c r="O1198">
        <v>4</v>
      </c>
      <c r="P1198">
        <v>2</v>
      </c>
      <c r="Q1198" t="s">
        <v>27</v>
      </c>
    </row>
    <row r="1199" spans="1:17" x14ac:dyDescent="0.3">
      <c r="A1199" t="s">
        <v>1244</v>
      </c>
      <c r="B1199">
        <v>45</v>
      </c>
      <c r="C1199" t="s">
        <v>18</v>
      </c>
      <c r="D1199" t="s">
        <v>74</v>
      </c>
      <c r="E1199" t="s">
        <v>75</v>
      </c>
      <c r="F1199">
        <v>11354</v>
      </c>
      <c r="G1199">
        <v>12</v>
      </c>
      <c r="H1199" t="s">
        <v>21</v>
      </c>
      <c r="I1199" t="s">
        <v>22</v>
      </c>
      <c r="J1199">
        <v>1</v>
      </c>
      <c r="K1199">
        <v>4</v>
      </c>
      <c r="L1199" t="s">
        <v>23</v>
      </c>
      <c r="M1199">
        <v>3</v>
      </c>
      <c r="N1199">
        <v>30</v>
      </c>
      <c r="O1199">
        <v>4</v>
      </c>
      <c r="P1199">
        <v>3</v>
      </c>
      <c r="Q1199" t="s">
        <v>27</v>
      </c>
    </row>
    <row r="1200" spans="1:17" x14ac:dyDescent="0.3">
      <c r="A1200" t="s">
        <v>1245</v>
      </c>
      <c r="B1200">
        <v>41</v>
      </c>
      <c r="C1200" t="s">
        <v>35</v>
      </c>
      <c r="D1200" t="s">
        <v>29</v>
      </c>
      <c r="E1200" t="s">
        <v>20</v>
      </c>
      <c r="F1200">
        <v>9426</v>
      </c>
      <c r="G1200">
        <v>0</v>
      </c>
      <c r="H1200" t="s">
        <v>37</v>
      </c>
      <c r="I1200" t="s">
        <v>22</v>
      </c>
      <c r="J1200">
        <v>1</v>
      </c>
      <c r="K1200">
        <v>3</v>
      </c>
      <c r="L1200" t="s">
        <v>27</v>
      </c>
      <c r="M1200">
        <v>3</v>
      </c>
      <c r="N1200">
        <v>30</v>
      </c>
      <c r="O1200">
        <v>6</v>
      </c>
      <c r="P1200">
        <v>4</v>
      </c>
      <c r="Q1200" t="s">
        <v>27</v>
      </c>
    </row>
    <row r="1201" spans="1:17" x14ac:dyDescent="0.3">
      <c r="A1201" t="s">
        <v>1246</v>
      </c>
      <c r="B1201">
        <v>30</v>
      </c>
      <c r="C1201" t="s">
        <v>18</v>
      </c>
      <c r="D1201" t="s">
        <v>70</v>
      </c>
      <c r="E1201" t="s">
        <v>20</v>
      </c>
      <c r="F1201">
        <v>11185</v>
      </c>
      <c r="G1201">
        <v>0</v>
      </c>
      <c r="H1201" t="s">
        <v>37</v>
      </c>
      <c r="I1201" t="s">
        <v>56</v>
      </c>
      <c r="J1201">
        <v>4</v>
      </c>
      <c r="K1201">
        <v>2</v>
      </c>
      <c r="L1201" t="s">
        <v>23</v>
      </c>
      <c r="M1201">
        <v>3</v>
      </c>
      <c r="N1201">
        <v>28</v>
      </c>
      <c r="O1201">
        <v>3</v>
      </c>
      <c r="P1201">
        <v>1</v>
      </c>
      <c r="Q120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EBF9-2D79-4E9D-A27A-79EE674C5240}">
  <dimension ref="A1:B7"/>
  <sheetViews>
    <sheetView zoomScale="146" workbookViewId="0">
      <selection activeCell="E7" sqref="E7"/>
    </sheetView>
  </sheetViews>
  <sheetFormatPr defaultRowHeight="14.4" x14ac:dyDescent="0.3"/>
  <sheetData>
    <row r="1" spans="1:2" x14ac:dyDescent="0.3">
      <c r="A1" t="s">
        <v>1247</v>
      </c>
    </row>
    <row r="3" spans="1:2" x14ac:dyDescent="0.3">
      <c r="A3" t="s">
        <v>1248</v>
      </c>
      <c r="B3">
        <f>COUNTA(HRData[Employee_ID])</f>
        <v>1200</v>
      </c>
    </row>
    <row r="4" spans="1:2" x14ac:dyDescent="0.3">
      <c r="A4" t="s">
        <v>1249</v>
      </c>
      <c r="B4">
        <f>COUNTIF(HRData[Attrition],"Yes")</f>
        <v>143</v>
      </c>
    </row>
    <row r="5" spans="1:2" x14ac:dyDescent="0.3">
      <c r="A5" t="s">
        <v>1250</v>
      </c>
      <c r="B5" s="1">
        <f>B4/B3</f>
        <v>0.11916666666666667</v>
      </c>
    </row>
    <row r="6" spans="1:2" x14ac:dyDescent="0.3">
      <c r="A6" t="s">
        <v>1251</v>
      </c>
      <c r="B6">
        <f>AVERAGE(HRData[Monthly_Income])</f>
        <v>8803.0683333333327</v>
      </c>
    </row>
    <row r="7" spans="1:2" x14ac:dyDescent="0.3">
      <c r="A7" t="s">
        <v>1252</v>
      </c>
      <c r="B7">
        <f>AVERAGE(HRData[Years_At_Company])</f>
        <v>3.7983333333333333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83DA-2B5C-403E-9A86-E2659B76FE09}">
  <dimension ref="A1:D7"/>
  <sheetViews>
    <sheetView workbookViewId="0">
      <selection activeCell="D1" activeCellId="1" sqref="A1:A7 D1:D7"/>
    </sheetView>
  </sheetViews>
  <sheetFormatPr defaultRowHeight="14.4" x14ac:dyDescent="0.3"/>
  <sheetData>
    <row r="1" spans="1:4" x14ac:dyDescent="0.3">
      <c r="A1" t="s">
        <v>3</v>
      </c>
      <c r="B1" t="s">
        <v>1248</v>
      </c>
      <c r="C1" t="s">
        <v>1249</v>
      </c>
      <c r="D1" t="s">
        <v>1253</v>
      </c>
    </row>
    <row r="2" spans="1:4" x14ac:dyDescent="0.3">
      <c r="A2" t="s">
        <v>25</v>
      </c>
      <c r="B2">
        <f>COUNTIF(HRData[Department],A2)</f>
        <v>311</v>
      </c>
      <c r="C2">
        <f>COUNTIFS(HRData[Department],A2,HRData[Attrition],"Yes")</f>
        <v>33</v>
      </c>
      <c r="D2" s="1">
        <f>C2/B2</f>
        <v>0.10610932475884244</v>
      </c>
    </row>
    <row r="3" spans="1:4" x14ac:dyDescent="0.3">
      <c r="A3" t="s">
        <v>19</v>
      </c>
      <c r="B3">
        <f>COUNTIF(HRData[Department],A3)</f>
        <v>286</v>
      </c>
      <c r="C3">
        <f>COUNTIFS(HRData[Department],A3,HRData[Attrition],"Yes")</f>
        <v>42</v>
      </c>
      <c r="D3" s="1">
        <f t="shared" ref="D3:D7" si="0">C3/B3</f>
        <v>0.14685314685314685</v>
      </c>
    </row>
    <row r="4" spans="1:4" x14ac:dyDescent="0.3">
      <c r="A4" t="s">
        <v>29</v>
      </c>
      <c r="B4">
        <f>COUNTIF(HRData[Department],A4)</f>
        <v>107</v>
      </c>
      <c r="C4">
        <f>COUNTIFS(HRData[Department],A4,HRData[Attrition],"Yes")</f>
        <v>12</v>
      </c>
      <c r="D4" s="1">
        <f t="shared" si="0"/>
        <v>0.11214953271028037</v>
      </c>
    </row>
    <row r="5" spans="1:4" x14ac:dyDescent="0.3">
      <c r="A5" t="s">
        <v>70</v>
      </c>
      <c r="B5">
        <f>COUNTIF(HRData[Department],A5)</f>
        <v>139</v>
      </c>
      <c r="C5">
        <f>COUNTIFS(HRData[Department],A5,HRData[Attrition],"Yes")</f>
        <v>19</v>
      </c>
      <c r="D5" s="1">
        <f t="shared" si="0"/>
        <v>0.1366906474820144</v>
      </c>
    </row>
    <row r="6" spans="1:4" x14ac:dyDescent="0.3">
      <c r="A6" t="s">
        <v>74</v>
      </c>
      <c r="B6">
        <f>COUNTIF(HRData[Department],A6)</f>
        <v>208</v>
      </c>
      <c r="C6">
        <f>COUNTIFS(HRData[Department],A6,HRData[Attrition],"Yes")</f>
        <v>26</v>
      </c>
      <c r="D6" s="1">
        <f t="shared" si="0"/>
        <v>0.125</v>
      </c>
    </row>
    <row r="7" spans="1:4" x14ac:dyDescent="0.3">
      <c r="A7" t="s">
        <v>44</v>
      </c>
      <c r="B7">
        <f>COUNTIF(HRData[Department],A7)</f>
        <v>149</v>
      </c>
      <c r="C7">
        <f>COUNTIFS(HRData[Department],A7,HRData[Attrition],"Yes")</f>
        <v>11</v>
      </c>
      <c r="D7" s="1">
        <f t="shared" si="0"/>
        <v>7.3825503355704702E-2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26C9-F71E-426C-BA35-4260DCB17E59}">
  <dimension ref="A1:D14"/>
  <sheetViews>
    <sheetView zoomScale="120" workbookViewId="0">
      <selection activeCell="E2" sqref="E2"/>
    </sheetView>
  </sheetViews>
  <sheetFormatPr defaultRowHeight="14.4" x14ac:dyDescent="0.3"/>
  <sheetData>
    <row r="1" spans="1:4" x14ac:dyDescent="0.3">
      <c r="A1" t="s">
        <v>1254</v>
      </c>
      <c r="B1" t="s">
        <v>1248</v>
      </c>
      <c r="C1" t="s">
        <v>1249</v>
      </c>
      <c r="D1" t="s">
        <v>1253</v>
      </c>
    </row>
    <row r="2" spans="1:4" x14ac:dyDescent="0.3">
      <c r="A2" t="s">
        <v>26</v>
      </c>
      <c r="B2">
        <f>COUNTIF(HRData[Job_Role],A2)</f>
        <v>181</v>
      </c>
      <c r="C2">
        <f>COUNTIFS(HRData[Job_Role],A2,HRData[Attrition],"Yes")</f>
        <v>18</v>
      </c>
      <c r="D2" s="1">
        <f>C2/B2</f>
        <v>9.9447513812154692E-2</v>
      </c>
    </row>
    <row r="3" spans="1:4" x14ac:dyDescent="0.3">
      <c r="A3" t="s">
        <v>61</v>
      </c>
      <c r="B3">
        <f>COUNTIF(HRData[Job_Role],A3)</f>
        <v>89</v>
      </c>
      <c r="C3">
        <f>COUNTIFS(HRData[Job_Role],A3,HRData[Attrition],"Yes")</f>
        <v>10</v>
      </c>
      <c r="D3" s="1">
        <f t="shared" ref="D3:D14" si="0">C3/B3</f>
        <v>0.11235955056179775</v>
      </c>
    </row>
    <row r="4" spans="1:4" x14ac:dyDescent="0.3">
      <c r="A4" t="s">
        <v>20</v>
      </c>
      <c r="B4">
        <f>COUNTIF(HRData[Job_Role],A4)</f>
        <v>177</v>
      </c>
      <c r="C4">
        <f>COUNTIFS(HRData[Job_Role],A4,HRData[Attrition],"Yes")</f>
        <v>22</v>
      </c>
      <c r="D4" s="1">
        <f t="shared" si="0"/>
        <v>0.12429378531073447</v>
      </c>
    </row>
    <row r="5" spans="1:4" x14ac:dyDescent="0.3">
      <c r="A5" t="s">
        <v>40</v>
      </c>
      <c r="B5">
        <f>COUNTIF(HRData[Job_Role],A5)</f>
        <v>146</v>
      </c>
      <c r="C5">
        <f>COUNTIFS(HRData[Job_Role],A5,HRData[Attrition],"Yes")</f>
        <v>24</v>
      </c>
      <c r="D5" s="1">
        <f t="shared" si="0"/>
        <v>0.16438356164383561</v>
      </c>
    </row>
    <row r="6" spans="1:4" x14ac:dyDescent="0.3">
      <c r="A6" t="s">
        <v>36</v>
      </c>
      <c r="B6">
        <f>COUNTIF(HRData[Job_Role],A6)</f>
        <v>90</v>
      </c>
      <c r="C6">
        <f>COUNTIFS(HRData[Job_Role],A6,HRData[Attrition],"Yes")</f>
        <v>10</v>
      </c>
      <c r="D6" s="1">
        <f t="shared" si="0"/>
        <v>0.1111111111111111</v>
      </c>
    </row>
    <row r="7" spans="1:4" x14ac:dyDescent="0.3">
      <c r="A7" t="s">
        <v>49</v>
      </c>
      <c r="B7">
        <f>COUNTIF(HRData[Job_Role],A7)</f>
        <v>62</v>
      </c>
      <c r="C7">
        <f>COUNTIFS(HRData[Job_Role],A7,HRData[Attrition],"Yes")</f>
        <v>4</v>
      </c>
      <c r="D7" s="1">
        <f t="shared" si="0"/>
        <v>6.4516129032258063E-2</v>
      </c>
    </row>
    <row r="8" spans="1:4" x14ac:dyDescent="0.3">
      <c r="A8" t="s">
        <v>30</v>
      </c>
      <c r="B8">
        <f>COUNTIF(HRData[Job_Role],A8)</f>
        <v>30</v>
      </c>
      <c r="C8">
        <f>COUNTIFS(HRData[Job_Role],A8,HRData[Attrition],"Yes")</f>
        <v>5</v>
      </c>
      <c r="D8" s="1">
        <f t="shared" si="0"/>
        <v>0.16666666666666666</v>
      </c>
    </row>
    <row r="9" spans="1:4" x14ac:dyDescent="0.3">
      <c r="A9" t="s">
        <v>71</v>
      </c>
      <c r="B9">
        <f>COUNTIF(HRData[Job_Role],A9)</f>
        <v>81</v>
      </c>
      <c r="C9">
        <f>COUNTIFS(HRData[Job_Role],A9,HRData[Attrition],"Yes")</f>
        <v>12</v>
      </c>
      <c r="D9" s="1">
        <f t="shared" si="0"/>
        <v>0.14814814814814814</v>
      </c>
    </row>
    <row r="10" spans="1:4" x14ac:dyDescent="0.3">
      <c r="A10" t="s">
        <v>144</v>
      </c>
      <c r="B10">
        <f>COUNTIF(HRData[Job_Role],A10)</f>
        <v>40</v>
      </c>
      <c r="C10">
        <f>COUNTIFS(HRData[Job_Role],A10,HRData[Attrition],"Yes")</f>
        <v>5</v>
      </c>
      <c r="D10" s="1">
        <f t="shared" si="0"/>
        <v>0.125</v>
      </c>
    </row>
    <row r="11" spans="1:4" x14ac:dyDescent="0.3">
      <c r="A11" t="s">
        <v>75</v>
      </c>
      <c r="B11">
        <f>COUNTIF(HRData[Job_Role],A11)</f>
        <v>116</v>
      </c>
      <c r="C11">
        <f>COUNTIFS(HRData[Job_Role],A11,HRData[Attrition],"Yes")</f>
        <v>14</v>
      </c>
      <c r="D11" s="1">
        <f t="shared" si="0"/>
        <v>0.1206896551724138</v>
      </c>
    </row>
    <row r="12" spans="1:4" x14ac:dyDescent="0.3">
      <c r="A12" t="s">
        <v>99</v>
      </c>
      <c r="B12">
        <f>COUNTIF(HRData[Job_Role],A12)</f>
        <v>63</v>
      </c>
      <c r="C12">
        <f>COUNTIFS(HRData[Job_Role],A12,HRData[Attrition],"Yes")</f>
        <v>10</v>
      </c>
      <c r="D12" s="1">
        <f t="shared" si="0"/>
        <v>0.15873015873015872</v>
      </c>
    </row>
    <row r="13" spans="1:4" x14ac:dyDescent="0.3">
      <c r="A13" t="s">
        <v>45</v>
      </c>
      <c r="B13">
        <f>COUNTIF(HRData[Job_Role],A13)</f>
        <v>81</v>
      </c>
      <c r="C13">
        <f>COUNTIFS(HRData[Job_Role],A13,HRData[Attrition],"Yes")</f>
        <v>6</v>
      </c>
      <c r="D13" s="1">
        <f t="shared" si="0"/>
        <v>7.407407407407407E-2</v>
      </c>
    </row>
    <row r="14" spans="1:4" x14ac:dyDescent="0.3">
      <c r="A14" t="s">
        <v>54</v>
      </c>
      <c r="B14">
        <f>COUNTIF(HRData[Job_Role],A14)</f>
        <v>44</v>
      </c>
      <c r="C14">
        <f>COUNTIFS(HRData[Job_Role],A14,HRData[Attrition],"Yes")</f>
        <v>3</v>
      </c>
      <c r="D14" s="1">
        <f t="shared" si="0"/>
        <v>6.8181818181818177E-2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FF08D-8BE6-4C42-9846-26CD47F9E343}">
  <dimension ref="A1:D3"/>
  <sheetViews>
    <sheetView workbookViewId="0">
      <selection activeCell="D1" activeCellId="1" sqref="A1:A3 D1:D3"/>
    </sheetView>
  </sheetViews>
  <sheetFormatPr defaultRowHeight="14.4" x14ac:dyDescent="0.3"/>
  <sheetData>
    <row r="1" spans="1:4" x14ac:dyDescent="0.3">
      <c r="A1" t="s">
        <v>11</v>
      </c>
      <c r="B1" t="s">
        <v>1248</v>
      </c>
      <c r="C1" t="s">
        <v>1249</v>
      </c>
      <c r="D1" t="s">
        <v>1253</v>
      </c>
    </row>
    <row r="2" spans="1:4" x14ac:dyDescent="0.3">
      <c r="A2" t="s">
        <v>23</v>
      </c>
      <c r="B2">
        <f>COUNTIF(HRData[Overtime],A2)</f>
        <v>333</v>
      </c>
      <c r="C2">
        <f>COUNTIFS(HRData[Overtime],A2,HRData[Attrition],"Yes")</f>
        <v>51</v>
      </c>
      <c r="D2" s="1">
        <f>C2/B2</f>
        <v>0.15315315315315314</v>
      </c>
    </row>
    <row r="3" spans="1:4" x14ac:dyDescent="0.3">
      <c r="A3" t="s">
        <v>27</v>
      </c>
      <c r="B3">
        <f>COUNTIF(HRData[Overtime],A3)</f>
        <v>867</v>
      </c>
      <c r="C3">
        <f>COUNTIFS(HRData[Overtime],A3,HRData[Attrition],"Yes")</f>
        <v>92</v>
      </c>
      <c r="D3" s="1">
        <f>C3/B3</f>
        <v>0.10611303344867359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C9691-8580-4FB6-8439-A44C335EA4EC}">
  <dimension ref="A1:D6"/>
  <sheetViews>
    <sheetView workbookViewId="0">
      <selection activeCell="D1" activeCellId="1" sqref="A1:A6 D1:D6"/>
    </sheetView>
  </sheetViews>
  <sheetFormatPr defaultRowHeight="14.4" x14ac:dyDescent="0.3"/>
  <sheetData>
    <row r="1" spans="1:4" x14ac:dyDescent="0.3">
      <c r="A1" t="s">
        <v>1255</v>
      </c>
      <c r="B1" t="s">
        <v>1248</v>
      </c>
      <c r="C1" t="s">
        <v>1249</v>
      </c>
      <c r="D1" t="s">
        <v>1253</v>
      </c>
    </row>
    <row r="2" spans="1:4" x14ac:dyDescent="0.3">
      <c r="A2" t="s">
        <v>1256</v>
      </c>
      <c r="B2">
        <f>COUNTIFS(HRData[Age],"&lt;25")</f>
        <v>160</v>
      </c>
      <c r="C2">
        <f>COUNTIFS(HRData[Age],"&lt;25",HRData[Attrition],"Yes")</f>
        <v>20</v>
      </c>
      <c r="D2" s="1">
        <f>C2/B2</f>
        <v>0.125</v>
      </c>
    </row>
    <row r="3" spans="1:4" x14ac:dyDescent="0.3">
      <c r="A3" t="s">
        <v>1257</v>
      </c>
      <c r="B3">
        <f>COUNTIFS(HRData[Age],"&gt;=25",HRData[Age],"&lt;35")</f>
        <v>491</v>
      </c>
      <c r="C3">
        <f>COUNTIFS(HRData[Age],"&gt;=25",HRData[Age],"&lt;35",HRData[Attrition],"Yes")</f>
        <v>65</v>
      </c>
      <c r="D3" s="1">
        <f t="shared" ref="D3:D6" si="0">C3/B3</f>
        <v>0.13238289205702647</v>
      </c>
    </row>
    <row r="4" spans="1:4" x14ac:dyDescent="0.3">
      <c r="A4" t="s">
        <v>1258</v>
      </c>
      <c r="B4">
        <f>COUNTIFS(HRData[Age],"&gt;=35",HRData[Age],"&lt;45")</f>
        <v>442</v>
      </c>
      <c r="C4">
        <f>COUNTIFS(HRData[Age],"&gt;=35",HRData[Age],"&lt;45",HRData[Attrition],"Yes")</f>
        <v>40</v>
      </c>
      <c r="D4" s="1">
        <f t="shared" si="0"/>
        <v>9.0497737556561084E-2</v>
      </c>
    </row>
    <row r="5" spans="1:4" x14ac:dyDescent="0.3">
      <c r="A5" t="s">
        <v>1259</v>
      </c>
      <c r="B5">
        <f>COUNTIFS(HRData[Age],"&gt;=45",HRData[Age],"&lt;55")</f>
        <v>101</v>
      </c>
      <c r="C5">
        <f>COUNTIFS(HRData[Age],"&gt;=45",HRData[Age],"&lt;55",HRData[Attrition],"Yes")</f>
        <v>18</v>
      </c>
      <c r="D5" s="1">
        <f t="shared" si="0"/>
        <v>0.17821782178217821</v>
      </c>
    </row>
    <row r="6" spans="1:4" x14ac:dyDescent="0.3">
      <c r="A6" t="s">
        <v>1260</v>
      </c>
      <c r="B6">
        <f>COUNTIFS(HRData[Age],"&gt;=55")</f>
        <v>6</v>
      </c>
      <c r="C6">
        <f>COUNTIFS(HRData[Age],"&gt;=55",HRData[Attrition],"Yes")</f>
        <v>0</v>
      </c>
      <c r="D6" s="1">
        <f t="shared" si="0"/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BAE0-6FFC-4BE3-A8F9-411C06FA5CA6}">
  <dimension ref="A1:B7"/>
  <sheetViews>
    <sheetView workbookViewId="0">
      <selection sqref="A1:B7"/>
    </sheetView>
  </sheetViews>
  <sheetFormatPr defaultRowHeight="14.4" x14ac:dyDescent="0.3"/>
  <sheetData>
    <row r="1" spans="1:2" x14ac:dyDescent="0.3">
      <c r="A1" t="s">
        <v>3</v>
      </c>
      <c r="B1" t="s">
        <v>1251</v>
      </c>
    </row>
    <row r="2" spans="1:2" x14ac:dyDescent="0.3">
      <c r="A2" t="s">
        <v>25</v>
      </c>
      <c r="B2">
        <f>AVERAGEIF(HRData[Department],A2,HRData[Monthly_Income])</f>
        <v>8782.9356913183274</v>
      </c>
    </row>
    <row r="3" spans="1:2" x14ac:dyDescent="0.3">
      <c r="A3" t="s">
        <v>19</v>
      </c>
      <c r="B3">
        <f>AVERAGEIF(HRData[Department],A3,HRData[Monthly_Income])</f>
        <v>9108.2482517482513</v>
      </c>
    </row>
    <row r="4" spans="1:2" x14ac:dyDescent="0.3">
      <c r="A4" t="s">
        <v>29</v>
      </c>
      <c r="B4">
        <f>AVERAGEIF(HRData[Department],A4,HRData[Monthly_Income])</f>
        <v>8478.3831775700928</v>
      </c>
    </row>
    <row r="5" spans="1:2" x14ac:dyDescent="0.3">
      <c r="A5" t="s">
        <v>70</v>
      </c>
      <c r="B5">
        <f>AVERAGEIF(HRData[Department],A5,HRData[Monthly_Income])</f>
        <v>8401.7697841726622</v>
      </c>
    </row>
    <row r="6" spans="1:2" x14ac:dyDescent="0.3">
      <c r="A6" t="s">
        <v>74</v>
      </c>
      <c r="B6">
        <f>AVERAGEIF(HRData[Department],A6,HRData[Monthly_Income])</f>
        <v>8853.7980769230762</v>
      </c>
    </row>
    <row r="7" spans="1:2" x14ac:dyDescent="0.3">
      <c r="A7" t="s">
        <v>44</v>
      </c>
      <c r="B7">
        <f>AVERAGEIF(HRData[Department],A7,HRData[Monthly_Income])</f>
        <v>8796.0201342281871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688C-3745-4AE4-80BC-ED4B17555FF9}">
  <dimension ref="A1:L4"/>
  <sheetViews>
    <sheetView showGridLines="0" tabSelected="1" zoomScale="98" workbookViewId="0">
      <selection activeCell="T1" sqref="T1"/>
    </sheetView>
  </sheetViews>
  <sheetFormatPr defaultRowHeight="14.4" x14ac:dyDescent="0.3"/>
  <cols>
    <col min="1" max="1" width="9" bestFit="1" customWidth="1"/>
    <col min="3" max="3" width="9" bestFit="1" customWidth="1"/>
    <col min="5" max="5" width="10.5546875" bestFit="1" customWidth="1"/>
    <col min="7" max="7" width="14.6640625" bestFit="1" customWidth="1"/>
    <col min="9" max="9" width="9" bestFit="1" customWidth="1"/>
  </cols>
  <sheetData>
    <row r="1" spans="1:12" ht="34.950000000000003" customHeight="1" x14ac:dyDescent="0.5">
      <c r="A1" s="7" t="s">
        <v>1261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3" spans="1:12" ht="15.6" x14ac:dyDescent="0.3">
      <c r="A3" s="8" t="s">
        <v>1248</v>
      </c>
      <c r="B3" s="8"/>
      <c r="C3" s="8" t="s">
        <v>1249</v>
      </c>
      <c r="D3" s="8"/>
      <c r="E3" s="8" t="s">
        <v>1253</v>
      </c>
      <c r="F3" s="8"/>
      <c r="G3" s="8" t="s">
        <v>1262</v>
      </c>
      <c r="H3" s="8"/>
      <c r="I3" s="8" t="s">
        <v>1263</v>
      </c>
      <c r="J3" s="8"/>
    </row>
    <row r="4" spans="1:12" ht="21" x14ac:dyDescent="0.4">
      <c r="A4" s="2">
        <f>'HR Summary'!B3</f>
        <v>1200</v>
      </c>
      <c r="B4" s="2"/>
      <c r="C4" s="3">
        <f>'HR Summary'!B4</f>
        <v>143</v>
      </c>
      <c r="D4" s="3"/>
      <c r="E4" s="4">
        <f>'HR Summary'!B5</f>
        <v>0.11916666666666667</v>
      </c>
      <c r="F4" s="4"/>
      <c r="G4" s="5">
        <f>'HR Summary'!B6</f>
        <v>8803.0683333333327</v>
      </c>
      <c r="H4" s="5"/>
      <c r="I4" s="6">
        <f>'HR Summary'!B7</f>
        <v>3.7983333333333333</v>
      </c>
      <c r="J4" s="6"/>
    </row>
  </sheetData>
  <mergeCells count="11">
    <mergeCell ref="A1:L1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hr_employee_data</vt:lpstr>
      <vt:lpstr>HR Summary</vt:lpstr>
      <vt:lpstr>Department Analysis</vt:lpstr>
      <vt:lpstr>Job Role Analysis</vt:lpstr>
      <vt:lpstr>Overtime Analysis</vt:lpstr>
      <vt:lpstr>Age Group Analysis</vt:lpstr>
      <vt:lpstr>Income Analysis</vt:lpstr>
      <vt:lpstr>HR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Tanushree Wankhede</dc:creator>
  <cp:lastModifiedBy>Tanushree Wankhede</cp:lastModifiedBy>
  <dcterms:created xsi:type="dcterms:W3CDTF">2026-09-24T05:16:10Z</dcterms:created>
  <dcterms:modified xsi:type="dcterms:W3CDTF">2026-09-25T05:38:32Z</dcterms:modified>
</cp:coreProperties>
</file>